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. Yönetici Özeti" state="visible" r:id="rId4"/>
    <sheet sheetId="2" name="B. ERP Gereksinim Matrisi" state="visible" r:id="rId5"/>
    <sheet sheetId="3" name="C. Teknik Borç ve Veri Bütün." state="visible" r:id="rId6"/>
    <sheet sheetId="4" name="D. Önceki Kararlar ve Bekleyen" state="visible" r:id="rId7"/>
    <sheet sheetId="5" name="E. Geliştirme Yol Haritası" state="visible" r:id="rId8"/>
    <sheet sheetId="6" name="Meta" state="visible" r:id="rId9"/>
  </sheets>
  <calcPr calcId="171027"/>
</workbook>
</file>

<file path=xl/sharedStrings.xml><?xml version="1.0" encoding="utf-8"?>
<sst xmlns="http://schemas.openxmlformats.org/spreadsheetml/2006/main" count="2442" uniqueCount="1177">
  <si>
    <t>ERP Kapsam Analizi — Yönetici Özeti</t>
  </si>
  <si>
    <t>Tarih</t>
  </si>
  <si>
    <t>2026-10-16</t>
  </si>
  <si>
    <t>Kaynak dal</t>
  </si>
  <si>
    <t>cursor/erp-lot-kalite-mrp-4f63 · migrations 001–018 · UI 20261016i</t>
  </si>
  <si>
    <t>Not</t>
  </si>
  <si>
    <t>Kod/şema değiştirilmedi. Durumlar kod+docs kanıtına dayanır; doğrulanamayanlar açık işaretlendi.</t>
  </si>
  <si>
    <t>Toplam gereksinim (matris)</t>
  </si>
  <si>
    <t>Duruma göre sayılar</t>
  </si>
  <si>
    <t>Mevcut ve doğrulandı</t>
  </si>
  <si>
    <t>Kısmen mevcut / eksik</t>
  </si>
  <si>
    <t>Tanımlanmış ancak çalıştığı doğrulanamadı</t>
  </si>
  <si>
    <t>Mevcut değil</t>
  </si>
  <si>
    <t>İncelenmesi gerekiyor</t>
  </si>
  <si>
    <t>Proje kapsamı dışında / karar bekliyor</t>
  </si>
  <si>
    <t>Önem puanı dağılımı (1–5)</t>
  </si>
  <si>
    <t>Puan 5</t>
  </si>
  <si>
    <t>Puan 4</t>
  </si>
  <si>
    <t>Puan 3</t>
  </si>
  <si>
    <t>Puan 2</t>
  </si>
  <si>
    <t>Puan 1</t>
  </si>
  <si>
    <t>Modül bazında tamamlanma</t>
  </si>
  <si>
    <t>Ana modül</t>
  </si>
  <si>
    <t>Toplam</t>
  </si>
  <si>
    <t>Eksik/Kısmi/Yok (yaklaşık)</t>
  </si>
  <si>
    <t>Platform</t>
  </si>
  <si>
    <t>Ana Veri</t>
  </si>
  <si>
    <t>Stok</t>
  </si>
  <si>
    <t>Satınalma</t>
  </si>
  <si>
    <t>Satış</t>
  </si>
  <si>
    <t>CRM</t>
  </si>
  <si>
    <t>Üretim</t>
  </si>
  <si>
    <t>Kalite</t>
  </si>
  <si>
    <t>Finans</t>
  </si>
  <si>
    <t>İnsan Kaynakları</t>
  </si>
  <si>
    <t>Bakım</t>
  </si>
  <si>
    <t>Raporlama</t>
  </si>
  <si>
    <t>Teknik</t>
  </si>
  <si>
    <t>Kritik eksikler (önem≥5 ve mevcut değil / kısmi / incelenmeli)</t>
  </si>
  <si>
    <t>REQ-PLT-006</t>
  </si>
  <si>
    <t>JWT / oturum tabanlı auth</t>
  </si>
  <si>
    <t>Mevcut değil · Tüm API spoof edilebilir.</t>
  </si>
  <si>
    <t>REQ-INV-004</t>
  </si>
  <si>
    <t>Satış rezervasyonu</t>
  </si>
  <si>
    <t>Mevcut değil · Çift satış / ATP riski.</t>
  </si>
  <si>
    <t>REQ-TEC-004</t>
  </si>
  <si>
    <t>Otomatik test suite</t>
  </si>
  <si>
    <t>Mevcut değil · Regresyon riski yüksek.</t>
  </si>
  <si>
    <t>REQ-TEC-005</t>
  </si>
  <si>
    <t>Sırlar / env</t>
  </si>
  <si>
    <t>Kısmen mevcut / eksik · Repo taraması gerekir.</t>
  </si>
  <si>
    <t>REQ-PLT-004</t>
  </si>
  <si>
    <t>Kullanıcı kartı</t>
  </si>
  <si>
    <t>Kısmen mevcut / eksik · Oturum ve kimlik doğrulama yok.</t>
  </si>
  <si>
    <t>REQ-PLT-001</t>
  </si>
  <si>
    <t>Firma tanımı</t>
  </si>
  <si>
    <t>Kısmen mevcut / eksik · Multi-company filtre/zorunluluk eksik (P14).</t>
  </si>
  <si>
    <t>REQ-FIN-001</t>
  </si>
  <si>
    <t>Alış/satış fatura kayıtları</t>
  </si>
  <si>
    <t>Kısmen mevcut / eksik · AR/AP ve muhasebe entegrasyonu eksik.</t>
  </si>
  <si>
    <t>REQ-QLT-003</t>
  </si>
  <si>
    <t>GKK/ÇKK emirleri onay/red</t>
  </si>
  <si>
    <t>Kısmen mevcut / eksik · Kısmi ret/ölçüm UI formu sınırlı.</t>
  </si>
  <si>
    <t>REQ-FIN-004</t>
  </si>
  <si>
    <t>Belge → muhasebe entegrasyonu</t>
  </si>
  <si>
    <t>Mevcut değil · Hesap belirleme kuralları.</t>
  </si>
  <si>
    <t>REQ-PUR-007</t>
  </si>
  <si>
    <t>3 yönlü fatura kontrolü (VER)</t>
  </si>
  <si>
    <t>Mevcut değil · Fatura askı/fark süreci.</t>
  </si>
  <si>
    <t>Başlıca teknik riskler</t>
  </si>
  <si>
    <t>API kimlik doğrulama yok (X-Kullanici-Kodu spoofable).</t>
  </si>
  <si>
    <t>Otomatik test suite yok; regresyon riski yüksek.</t>
  </si>
  <si>
    <t>Satış rezervasyonu yok → ATP/çift satış riski.</t>
  </si>
  <si>
    <t>Alış fatura–mal kabul bağı ve 3-way match yok.</t>
  </si>
  <si>
    <t>Belge→muhasebe ve cari borç/alacak motoru yok.</t>
  </si>
  <si>
    <t>nodemailer opsiyonel; e-posta gerçek gönderim ortam bağımlı.</t>
  </si>
  <si>
    <t>ID</t>
  </si>
  <si>
    <t>Alt modül</t>
  </si>
  <si>
    <t>Gereksinim / özellik</t>
  </si>
  <si>
    <t>Açıklama ve beklenen davranış</t>
  </si>
  <si>
    <t>Mevcut durum</t>
  </si>
  <si>
    <t>Kanıt / ilgili dosya, tablo, ekran veya kod</t>
  </si>
  <si>
    <t>Eksiklik veya risk</t>
  </si>
  <si>
    <t>Önem puanı (1–5)</t>
  </si>
  <si>
    <t>Teknik risk</t>
  </si>
  <si>
    <t>Bağımlı olduğu maddeler</t>
  </si>
  <si>
    <t>Öncelik sırası</t>
  </si>
  <si>
    <t>Önerilen işlem</t>
  </si>
  <si>
    <t>Önceki değerlendirmedeki durum</t>
  </si>
  <si>
    <t>Kullanıcı kararı</t>
  </si>
  <si>
    <t>Uygulama durumu</t>
  </si>
  <si>
    <t>Organizasyon</t>
  </si>
  <si>
    <t>Çoklu firma kartı; belgelerde firma bağlamı.</t>
  </si>
  <si>
    <t>Tablo firmalar; ekran firmalar; routes/firmalar.js. Belgelerde firma_id tutarlı zorunluluk kısmi.</t>
  </si>
  <si>
    <t>Multi-company filtre/zorunluluk eksik (P14).</t>
  </si>
  <si>
    <t>Orta — veri karışması riski</t>
  </si>
  <si>
    <t>REQ-PLT-002</t>
  </si>
  <si>
    <t>Belge/org filtrelerinde firma_id zorunlu kıl.</t>
  </si>
  <si>
    <t>P14 skor16 YAPILMADI; scope Aşama2 Evet</t>
  </si>
  <si>
    <t/>
  </si>
  <si>
    <t>İş yeri tanımı</t>
  </si>
  <si>
    <t>Firma altında tesis/iş yeri.</t>
  </si>
  <si>
    <t>is_yerleri; ekran is-yerleri; migration 001/002.</t>
  </si>
  <si>
    <t>Düşük</t>
  </si>
  <si>
    <t>Koruma; regresyon testi.</t>
  </si>
  <si>
    <t>Aşama2 zorunlu — mevcut</t>
  </si>
  <si>
    <t>REQ-PLT-003</t>
  </si>
  <si>
    <t>Depo tanımı</t>
  </si>
  <si>
    <t>İş yeri altında depo; varsayılan/rol.</t>
  </si>
  <si>
    <t>depolar + depo_rolu (018); ekran depolar; varsayilan.</t>
  </si>
  <si>
    <t>Koruma.</t>
  </si>
  <si>
    <t>Aşama2 zorunlu ek — mevcut</t>
  </si>
  <si>
    <t>Kullanıcı</t>
  </si>
  <si>
    <t>Kullanıcı kodu, grup, aktif.</t>
  </si>
  <si>
    <t>kisiler/kullanicilar CRUD; password/login yok.</t>
  </si>
  <si>
    <t>Oturum ve kimlik doğrulama yok.</t>
  </si>
  <si>
    <t>Yüksek — spoofable header</t>
  </si>
  <si>
    <t>JWT/oturum + parola hash.</t>
  </si>
  <si>
    <t>P20 skor12; NEXT_STEPS bekleyen</t>
  </si>
  <si>
    <t>REQ-PLT-005</t>
  </si>
  <si>
    <t>Kullanıcı grupları</t>
  </si>
  <si>
    <t>Grup tanımı + yetki bayrakları.</t>
  </si>
  <si>
    <t>kullanici_gruplari; satinalma_onay/talep/kalite_kontrol (018).</t>
  </si>
  <si>
    <t>Menü/depo yetkisi yok; bayraklar sınırlı.</t>
  </si>
  <si>
    <t>Orta</t>
  </si>
  <si>
    <t>Menü+depo yetki matrisi.</t>
  </si>
  <si>
    <t>P20</t>
  </si>
  <si>
    <t>Yetki</t>
  </si>
  <si>
    <t>Login, token, güvenli API.</t>
  </si>
  <si>
    <t>src/utils/yetki.js: “JWT henüz yok”; X-Kullanici-Kodu header.</t>
  </si>
  <si>
    <t>Tüm API spoof edilebilir.</t>
  </si>
  <si>
    <t>Kritik</t>
  </si>
  <si>
    <t>Auth middleware + login UI.</t>
  </si>
  <si>
    <t>P20 YAPILMADI; docs/20 bilinçli sınır</t>
  </si>
  <si>
    <t>REQ-PLT-007</t>
  </si>
  <si>
    <t>Menü / ekran yetkisi</t>
  </si>
  <si>
    <t>Rol bazlı menü görünürlüğü.</t>
  </si>
  <si>
    <t>public/app.js MODULES herkese açık.</t>
  </si>
  <si>
    <t>UI gate yok.</t>
  </si>
  <si>
    <t>Yüksek</t>
  </si>
  <si>
    <t>Screen ACL.</t>
  </si>
  <si>
    <t>P20; Canias SYST07/08</t>
  </si>
  <si>
    <t>REQ-PLT-008</t>
  </si>
  <si>
    <t>Depo bazlı yetki</t>
  </si>
  <si>
    <t>Kullanıcının depo erişimi.</t>
  </si>
  <si>
    <t>Kanıt yok (tablo/middleware yok).</t>
  </si>
  <si>
    <t>Depo izolasyonu yok.</t>
  </si>
  <si>
    <t>kullanici_depo tablosu + assert.</t>
  </si>
  <si>
    <t>REQ-PLT-009</t>
  </si>
  <si>
    <t>Satınalma onay yetkisi</t>
  </si>
  <si>
    <t>Talep oluşturma/onay grup bayrağı.</t>
  </si>
  <si>
    <t>assertYetki satinalma_talep/onay; routes/satin_alma_talepleri.js; test docs/20.</t>
  </si>
  <si>
    <t>Orta — header spoof</t>
  </si>
  <si>
    <t>Auth ile birleştir.</t>
  </si>
  <si>
    <t>docs/20 doğrulandı</t>
  </si>
  <si>
    <t>REQ-PLT-010</t>
  </si>
  <si>
    <t>Kalite kontrol yetkisi</t>
  </si>
  <si>
    <t>KK kaydet/onay/red yetkisi.</t>
  </si>
  <si>
    <t>assertYetki kalite_kontrol; routes/kk_emirleri.js; docs/20.</t>
  </si>
  <si>
    <t>docs/20</t>
  </si>
  <si>
    <t>REQ-PLT-011</t>
  </si>
  <si>
    <t>Parametreler</t>
  </si>
  <si>
    <t>Sistem parametreleri</t>
  </si>
  <si>
    <t>Key/value parametre ekranı.</t>
  </si>
  <si>
    <t>sistem_parametreleri; ekran sistem-parametreleri; STOK_NEGATIF, SMTP_*, STOK_DEPO_ZORUNLU.</t>
  </si>
  <si>
    <t>Koruma; parametre kataloğu dokümante et.</t>
  </si>
  <si>
    <t>Dalga1</t>
  </si>
  <si>
    <t>REQ-PLT-012</t>
  </si>
  <si>
    <t>Numaralandırma</t>
  </si>
  <si>
    <t>Kod serisi / numaratör</t>
  </si>
  <si>
    <t>Belge ve kart kod üretimi.</t>
  </si>
  <si>
    <t>kod_serileri; ekran numarator-tanimi; kodUretici.js/belgeNo.js.</t>
  </si>
  <si>
    <t>docs/08</t>
  </si>
  <si>
    <t>REQ-PLT-013</t>
  </si>
  <si>
    <t>Belge tipi</t>
  </si>
  <si>
    <t>Belge tipi sözlüğü</t>
  </si>
  <si>
    <t>DOCTYPE kataloğu.</t>
  </si>
  <si>
    <t>belge_tipleri (014); /belge-tipleri read-only.</t>
  </si>
  <si>
    <t>UI tanım ekranı opsiyonel.</t>
  </si>
  <si>
    <t>P15 KISMİ</t>
  </si>
  <si>
    <t>REQ-PLT-014</t>
  </si>
  <si>
    <t>Hareket kodu</t>
  </si>
  <si>
    <t>Hareket kodu tanımı ve belge bağ</t>
  </si>
  <si>
    <t>Stok/finans hareket kodları.</t>
  </si>
  <si>
    <t>hareket_kodlari; zorunlu bağ Dalga A (P02); routes/hareket_kodlari.js.</t>
  </si>
  <si>
    <t>P02 YAPILDI skor25</t>
  </si>
  <si>
    <t>REQ-PLT-015</t>
  </si>
  <si>
    <t>Belge omurgası</t>
  </si>
  <si>
    <t>Kaynak belge referansı (REFDOC)</t>
  </si>
  <si>
    <t>kaynak_belge_tipi/id + kalem ref.</t>
  </si>
  <si>
    <t>014_dalga_a_belge_omurga; belgeOmurga.js.</t>
  </si>
  <si>
    <t>Koruma; tüm zincirlerde tutarlılık audit.</t>
  </si>
  <si>
    <t>P01 YAPILDI skor25</t>
  </si>
  <si>
    <t>REQ-PLT-016</t>
  </si>
  <si>
    <t>Audit</t>
  </si>
  <si>
    <t>Alan / belge tarihçesi</t>
  </si>
  <si>
    <t>Kim neyi ne zaman değiştirdi.</t>
  </si>
  <si>
    <t>Audit tablosu/middleware yok.</t>
  </si>
  <si>
    <t>Uyuşmazlık ve compliance riski.</t>
  </si>
  <si>
    <t>audit_log tablosu.</t>
  </si>
  <si>
    <t>P21 skor12 YAPILMADI</t>
  </si>
  <si>
    <t>REQ-PLT-017</t>
  </si>
  <si>
    <t>Bildirim</t>
  </si>
  <si>
    <t>E-posta kuyruğu</t>
  </si>
  <si>
    <t>Olay e-postası kuyruk + gönderim.</t>
  </si>
  <si>
    <t>eposta_gonderimleri; epostaService; SA onay e-posta; nodemailer opsiyonel.</t>
  </si>
  <si>
    <t>SMTP/nodemailer yoksa gerçek gönderim yok.</t>
  </si>
  <si>
    <t>nodemailer bağımlılığı + SMTP kurulum.</t>
  </si>
  <si>
    <t>P34 skor8 → docs/20 kısmi</t>
  </si>
  <si>
    <t>REQ-PLT-018</t>
  </si>
  <si>
    <t>Uygulama içi bildirim / kokpit</t>
  </si>
  <si>
    <t>Operasyonel uyarılar, dashboard.</t>
  </si>
  <si>
    <t>Kokpit ekranı yok.</t>
  </si>
  <si>
    <t>Açık sipariş/kritik stok widget.</t>
  </si>
  <si>
    <t>P33 skor12 YAPILMADI</t>
  </si>
  <si>
    <t>REQ-PLT-019</t>
  </si>
  <si>
    <t>İş akışı</t>
  </si>
  <si>
    <t>Genel onay motoru</t>
  </si>
  <si>
    <t>Çok seviyeli onay, workflow engine.</t>
  </si>
  <si>
    <t>SA talep onay + KK onay özel kod; genel WF yok.</t>
  </si>
  <si>
    <t>Diğer belgelerde generic onay yok.</t>
  </si>
  <si>
    <t>Ortak onay servisi veya bilinçli sınırlı tut.</t>
  </si>
  <si>
    <t>Aşama1 belirsiz onay seviyeleri</t>
  </si>
  <si>
    <t>REQ-PLT-020</t>
  </si>
  <si>
    <t>Hata yönetimi</t>
  </si>
  <si>
    <t>API hata standardı</t>
  </si>
  <si>
    <t>Tutarlı JSON hata + HTTP kodları.</t>
  </si>
  <si>
    <t>Çoğu route try/catch + res.status; merkezi error middleware yok.</t>
  </si>
  <si>
    <t>Tutarsız yanıtlar mümkün.</t>
  </si>
  <si>
    <t>Express error middleware.</t>
  </si>
  <si>
    <t>İnceleme bulgusu</t>
  </si>
  <si>
    <t>REQ-PLT-021</t>
  </si>
  <si>
    <t>UI shell</t>
  </si>
  <si>
    <t>Modül menü + sekmeler + filtre</t>
  </si>
  <si>
    <t>SPA shell, LIKE filtre, sekmeler.</t>
  </si>
  <si>
    <t>public/app.js MODULES 58 ekran; build 20261016i; içerir LIKE.</t>
  </si>
  <si>
    <t>UI dalgaları</t>
  </si>
  <si>
    <t>REQ-PLT-022</t>
  </si>
  <si>
    <t>UI listeler</t>
  </si>
  <si>
    <t>Liste satır ID + tekil seçim</t>
  </si>
  <si>
    <t>Her satırda benzersiz id; tek seçim.</t>
  </si>
  <si>
    <t>listColumns + rowKey/ensureRowIds; depoBakiyeListesi composite id; headless test 2026-10-16.</t>
  </si>
  <si>
    <t>Bugfix 20261016h/i</t>
  </si>
  <si>
    <t>REQ-MDM-001</t>
  </si>
  <si>
    <t>Stok kartı</t>
  </si>
  <si>
    <t>Malzeme master + tip/tedarik/birim.</t>
  </si>
  <si>
    <t>stoklar + detay tablolar; ekran stok-karti; routes/stoklar.js.</t>
  </si>
  <si>
    <t>Aşama2</t>
  </si>
  <si>
    <t>REQ-MDM-002</t>
  </si>
  <si>
    <t>Stok–iş yeri ilişkisi</t>
  </si>
  <si>
    <t>Malzeme-tesis bağı.</t>
  </si>
  <si>
    <t>stok_is_yeri (002); stok kartında kullanılıyor.</t>
  </si>
  <si>
    <t>REQ-MDM-003</t>
  </si>
  <si>
    <t>Stok–depo ilişkisi</t>
  </si>
  <si>
    <t>Malzeme-depo varsayılan giriş/çıkış.</t>
  </si>
  <si>
    <t>stok_depo (016); ekran stok-depo; STOK_DEPO_ZORUNLU parametre.</t>
  </si>
  <si>
    <t>Zorunluluk varsayılan kapalı; satış belgelerinde otomatik depo kademeli.</t>
  </si>
  <si>
    <t>Zorunluluk rollout + belge default depo.</t>
  </si>
  <si>
    <t>U07 Yapildi; docs/20 sınır</t>
  </si>
  <si>
    <t>REQ-MDM-004</t>
  </si>
  <si>
    <t>Ölçü birimleri</t>
  </si>
  <si>
    <t>Birim lookup tablosu.</t>
  </si>
  <si>
    <t>olcu_birimleri; ekran olcu-birimleri.</t>
  </si>
  <si>
    <t>Aşama2 zorunlu</t>
  </si>
  <si>
    <t>REQ-MDM-005</t>
  </si>
  <si>
    <t>Birim dönüşümleri</t>
  </si>
  <si>
    <t>Stok bazlı alternatif birim + katsayı.</t>
  </si>
  <si>
    <t>stok_birim_tanimlari (009); UI/iş kuralı belgelerin hepsinde zorunlu dönüşüm yok.</t>
  </si>
  <si>
    <t>Belge satırında otomatik çevrim eksik olabilir.</t>
  </si>
  <si>
    <t>Belge satırında birim çevrim doğrula.</t>
  </si>
  <si>
    <t>İncelenmesi</t>
  </si>
  <si>
    <t>REQ-MDM-006</t>
  </si>
  <si>
    <t>Kategori / sınıf tanımları</t>
  </si>
  <si>
    <t>ABC, marka, temin, sınıf.</t>
  </si>
  <si>
    <t>kategori_tanimlari; stok_siniflari; ekranlar kategori-tanimi, sinif-tanimi.</t>
  </si>
  <si>
    <t>010/012</t>
  </si>
  <si>
    <t>REQ-MDM-007</t>
  </si>
  <si>
    <t>Barkod tanımları</t>
  </si>
  <si>
    <t>Stok barkod tablosu.</t>
  </si>
  <si>
    <t>stok_barkodlari (009/011); tam barkod süreç/UI matris derinliği sınırlı.</t>
  </si>
  <si>
    <t>Okuma/toplama süreci yok.</t>
  </si>
  <si>
    <t>WMS/toplama ile birlikte.</t>
  </si>
  <si>
    <t>docs/10 erteleme</t>
  </si>
  <si>
    <t>REQ-MDM-008</t>
  </si>
  <si>
    <t>Çoklu dil stok etiketleri</t>
  </si>
  <si>
    <t>Dil tabloları + UI dil seçimi.</t>
  </si>
  <si>
    <t>stok_dil_tanimlari var; UI dil seçimi yok.</t>
  </si>
  <si>
    <t>UI eksik.</t>
  </si>
  <si>
    <t>UI dil seçici veya kapsam dışı.</t>
  </si>
  <si>
    <t>P35 skor6</t>
  </si>
  <si>
    <t>REQ-MDM-009</t>
  </si>
  <si>
    <t>Alternatif / ikame malzeme</t>
  </si>
  <si>
    <t>BOM/ikame alternatifleri.</t>
  </si>
  <si>
    <t>Kanıt yok; bilinçli kaldırılmış (P36).</t>
  </si>
  <si>
    <t>REQ-PRD-001</t>
  </si>
  <si>
    <t>Karar: kapsam dışı veya BOM ikame.</t>
  </si>
  <si>
    <t>P36 YAPILMADI</t>
  </si>
  <si>
    <t>REQ-MDM-010</t>
  </si>
  <si>
    <t>Cari</t>
  </si>
  <si>
    <t>Cari kartı</t>
  </si>
  <si>
    <t>Müşteri/tedarikçi master.</t>
  </si>
  <si>
    <t>cariler + detay/banka/sevk/dil; ekran cari-kartlari.</t>
  </si>
  <si>
    <t>Aşama2; 009</t>
  </si>
  <si>
    <t>REQ-MDM-011</t>
  </si>
  <si>
    <t>Cari–iş yeri / firma parametreleri</t>
  </si>
  <si>
    <t>Cari firma parametreleri.</t>
  </si>
  <si>
    <t>cari_firma_parametreleri (011).</t>
  </si>
  <si>
    <t>UI derinliği / zorunluluk doğrulanmalı.</t>
  </si>
  <si>
    <t>Ekran ve zorunluluk audit.</t>
  </si>
  <si>
    <t>Aşama2 kısmi</t>
  </si>
  <si>
    <t>REQ-MDM-012</t>
  </si>
  <si>
    <t>Kişiler / kontaklar (cari)</t>
  </si>
  <si>
    <t>Cari yetkili kişiler.</t>
  </si>
  <si>
    <t>CRM kontaklar var; klasik cari kişi alt grid ayrı değerlendirilmeli.</t>
  </si>
  <si>
    <t>Çift model riski (kisiler vs crm_kontaklar).</t>
  </si>
  <si>
    <t>REQ-CRM-003</t>
  </si>
  <si>
    <t>Model birleştirme kararı.</t>
  </si>
  <si>
    <t>INC</t>
  </si>
  <si>
    <t>REQ-MDM-013</t>
  </si>
  <si>
    <t>Adres</t>
  </si>
  <si>
    <t>Ülke tanımı</t>
  </si>
  <si>
    <t>Ülke lookup.</t>
  </si>
  <si>
    <t>ulkeler; ekran ulke-tanimi.</t>
  </si>
  <si>
    <t>011</t>
  </si>
  <si>
    <t>REQ-MDM-014</t>
  </si>
  <si>
    <t>Parti</t>
  </si>
  <si>
    <t>Parti / lot master</t>
  </si>
  <si>
    <t>Lot kaydı + politika.</t>
  </si>
  <si>
    <t>stok_partileri; parti_politika; partiService; ekran stok-partileri; docs/20 test.</t>
  </si>
  <si>
    <t>REQ-INV-001</t>
  </si>
  <si>
    <t>Seri takibini ayrı ele al.</t>
  </si>
  <si>
    <t>P25 parti kısmı → docs/20 Yapildi</t>
  </si>
  <si>
    <t>REQ-MDM-015</t>
  </si>
  <si>
    <t>Seri</t>
  </si>
  <si>
    <t>Seri numarası izlenebilirlik</t>
  </si>
  <si>
    <t>Birim başına seri.</t>
  </si>
  <si>
    <t>Seri tablosu/akış yok; yalnızca lot.</t>
  </si>
  <si>
    <t>Regülasyon sektörlerde eksik.</t>
  </si>
  <si>
    <t>Karar: parti yeterli mi / seri gerekir mi.</t>
  </si>
  <si>
    <t>P25 seri kısmı açık; scope Aşama2 Hayır</t>
  </si>
  <si>
    <t>Hareket motoru</t>
  </si>
  <si>
    <t>Merkezi stok hareket servisi</t>
  </si>
  <si>
    <t>Giriş/çıkış/transfer bakiye motoru.</t>
  </si>
  <si>
    <t>stokHareketService.js; stok_hareketleri(+satirlar); withTransaction.</t>
  </si>
  <si>
    <t>Koruma; N+1 ve performans izle.</t>
  </si>
  <si>
    <t>REQ-INV-002</t>
  </si>
  <si>
    <t>Bakiye</t>
  </si>
  <si>
    <t>Depo bakiye listesi</t>
  </si>
  <si>
    <t>Depo+stok+statü+parti bakiye.</t>
  </si>
  <si>
    <t>/stok-bakiyeleri; depoBakiyeListesi; ekran depo-bakiye; composite id.</t>
  </si>
  <si>
    <t>REQ-INV-003</t>
  </si>
  <si>
    <t>Statü</t>
  </si>
  <si>
    <t>Stok statüleri (Kullanılabilir/Kalitede/Bloke)</t>
  </si>
  <si>
    <t>Bakiye boyutu olarak statü.</t>
  </si>
  <si>
    <t>stok_hareket_satirlari.stok_statu; 018; docs/20.</t>
  </si>
  <si>
    <t>Rezerve boyutunu ayrı ekle.</t>
  </si>
  <si>
    <t>P07 → docs/20 Yapildi (rezerve hariç)</t>
  </si>
  <si>
    <t>Rezervasyon</t>
  </si>
  <si>
    <t>Sipariş onayında rezerve; irsaliyede tüket.</t>
  </si>
  <si>
    <t>Rezervasyon tablosu/alanı yok; bakiye yalnızca hareket.</t>
  </si>
  <si>
    <t>Çift satış / ATP riski.</t>
  </si>
  <si>
    <t>REQ-INV-002;REQ-SAL-002</t>
  </si>
  <si>
    <t>rezerve_miktar + rezervasyon belgeleri.</t>
  </si>
  <si>
    <t>P03 skor20 YAPILMADI</t>
  </si>
  <si>
    <t>REQ-INV-005</t>
  </si>
  <si>
    <t>Negatif stok</t>
  </si>
  <si>
    <t>Negatif stok parametresi</t>
  </si>
  <si>
    <t>STOK_NEGATIF parametresine uyum.</t>
  </si>
  <si>
    <t>belgeOmurga + stokHareketService; P38 Dalga A.</t>
  </si>
  <si>
    <t>P38 YAPILDI</t>
  </si>
  <si>
    <t>REQ-INV-006</t>
  </si>
  <si>
    <t>Manuel hareket</t>
  </si>
  <si>
    <t>Manuel giriş/çıkış/transfer belgesi</t>
  </si>
  <si>
    <t>Stok hareketleri ekranı.</t>
  </si>
  <si>
    <t>015; routes/stok_hareketleri.js; ekran stok-hareketleri; hedef_depo_id.</t>
  </si>
  <si>
    <t>Sayım belgesinden ayır.</t>
  </si>
  <si>
    <t>015</t>
  </si>
  <si>
    <t>REQ-INV-007</t>
  </si>
  <si>
    <t>Transfer</t>
  </si>
  <si>
    <t>Depolar arası transfer süreci (TRO)</t>
  </si>
  <si>
    <t>Talep→emir→yoldaki stok.</t>
  </si>
  <si>
    <t>Manuel TRANSFER çift hareket var; TRO belge/workflow/yoldaki stok yok.</t>
  </si>
  <si>
    <t>Süreç eksik; yalnızca anlık transfer.</t>
  </si>
  <si>
    <t>Transfer emri belgesi + in-transit.</t>
  </si>
  <si>
    <t>P08 skor16 YAPILMADI</t>
  </si>
  <si>
    <t>REQ-INV-008</t>
  </si>
  <si>
    <t>Sayım</t>
  </si>
  <si>
    <t>Stok sayım / düzeltme belgesi</t>
  </si>
  <si>
    <t>Sayım belgesi + fark hareketi.</t>
  </si>
  <si>
    <t>Hareket tipi SAYIM/SAY-01 kodu var; ayrı sayım UI/workflow yok.</t>
  </si>
  <si>
    <t>Sayım süreci operasyonel değil.</t>
  </si>
  <si>
    <t>Sayım belgesi ekranı + onay.</t>
  </si>
  <si>
    <t>P09 skor20 YAPILMADI</t>
  </si>
  <si>
    <t>REQ-INV-009</t>
  </si>
  <si>
    <t>WMS</t>
  </si>
  <si>
    <t>Raf/konum hareketi</t>
  </si>
  <si>
    <t>Hareket satırında raf + toplama.</t>
  </si>
  <si>
    <t>depolar.raf_kodu/konum_kodu (011); hareket satırında konum yok.</t>
  </si>
  <si>
    <t>WMS light eksik.</t>
  </si>
  <si>
    <t>Ertele veya WMS light.</t>
  </si>
  <si>
    <t>P26 skor9</t>
  </si>
  <si>
    <t>REQ-INV-010</t>
  </si>
  <si>
    <t>Emniyet stok</t>
  </si>
  <si>
    <t>Minimum / emniyet stok</t>
  </si>
  <si>
    <t>Stok kartı emniyet + MRP kullanımı.</t>
  </si>
  <si>
    <t>stoklar.emniyet_stok; mrpService dahil; docs/20 test.</t>
  </si>
  <si>
    <t>REQ-PRD-010</t>
  </si>
  <si>
    <t>REQ-INV-011</t>
  </si>
  <si>
    <t>Değerleme</t>
  </si>
  <si>
    <t>Stok maliyet / değerleme</t>
  </si>
  <si>
    <t>FIFO/ortalama maliyet katmanı.</t>
  </si>
  <si>
    <t>Maliyet katmanı yok.</t>
  </si>
  <si>
    <t>Finans/üretim maliyet bağı yok.</t>
  </si>
  <si>
    <t>REQ-FIN-005;REQ-PRD-011</t>
  </si>
  <si>
    <t>Karar: kapsam / yöntem.</t>
  </si>
  <si>
    <t>P22 skor8; Aşama2 finans Hayır</t>
  </si>
  <si>
    <t>REQ-INV-012</t>
  </si>
  <si>
    <t>Fire</t>
  </si>
  <si>
    <t>Fire hareketi</t>
  </si>
  <si>
    <t>Fire belge tipi / süreç.</t>
  </si>
  <si>
    <t>belge_tipi Fire seçeneklerde; özel fire süreci/UI yok.</t>
  </si>
  <si>
    <t>Manuel hareketle simüle edilebilir.</t>
  </si>
  <si>
    <t>Üretim fire ile birleştir.</t>
  </si>
  <si>
    <t>TANIM</t>
  </si>
  <si>
    <t>REQ-PUR-001</t>
  </si>
  <si>
    <t>Talep</t>
  </si>
  <si>
    <t>Satınalma talebi + onay</t>
  </si>
  <si>
    <t>Talep oluşturma, onay, e-posta.</t>
  </si>
  <si>
    <t>satin_alma_talepleri; onayla + eposta; yetki; ekran satin-alma-talepleri.</t>
  </si>
  <si>
    <t>Orta — auth spoof</t>
  </si>
  <si>
    <t>Auth sertleştir.</t>
  </si>
  <si>
    <t>REQ-PUR-002</t>
  </si>
  <si>
    <t>Sipariş</t>
  </si>
  <si>
    <t>Satınalma siparişi</t>
  </si>
  <si>
    <t>SA sipariş + talepten dönüşüm.</t>
  </si>
  <si>
    <t>satin_alma_siparisleri; /talep-donustur.</t>
  </si>
  <si>
    <t>REQ-PUR-003</t>
  </si>
  <si>
    <t>Teklif</t>
  </si>
  <si>
    <t>Teklif isteği / teklif / anlaşma CRUD</t>
  </si>
  <si>
    <t>PUR teklif zinciri tabloları.</t>
  </si>
  <si>
    <t>createBelgeRouter thin CRUD (3 route ~14 satır); dönüşüm yok.</t>
  </si>
  <si>
    <t>İş akışı yok.</t>
  </si>
  <si>
    <t>Teklif→sipariş dönüştür.</t>
  </si>
  <si>
    <t>P40 skor20 YAPILMADI</t>
  </si>
  <si>
    <t>REQ-PUR-004</t>
  </si>
  <si>
    <t>Teklif → sipariş dönüşüm</t>
  </si>
  <si>
    <t>Satıştaki gibi dönüştür butonu.</t>
  </si>
  <si>
    <t>routes/satin_alma_teklifleri.js factory only; dönüşüm endpoint yok.</t>
  </si>
  <si>
    <t>siparise-donustur + UI.</t>
  </si>
  <si>
    <t>P40</t>
  </si>
  <si>
    <t>REQ-PUR-005</t>
  </si>
  <si>
    <t>Mal kabul</t>
  </si>
  <si>
    <t>Mal kabul + stok girişi</t>
  </si>
  <si>
    <t>Siparişten kabul, kalan miktar kilidi.</t>
  </si>
  <si>
    <t>mal_kabuller; stok + GKK tetik; fazla kabul engeli.</t>
  </si>
  <si>
    <t>REQ-PUR-002;REQ-INV-001</t>
  </si>
  <si>
    <t>REQ-PUR-006</t>
  </si>
  <si>
    <t>Fatura</t>
  </si>
  <si>
    <t>Mal kabul → alış fatura bağ</t>
  </si>
  <si>
    <t>Kabule dayalı alış faturası.</t>
  </si>
  <si>
    <t>Alış faturaları bağımsız CRUD; kabulden oluşturma yok.</t>
  </si>
  <si>
    <t>3-way match önkoşulu eksik.</t>
  </si>
  <si>
    <t>REQ-PUR-005;REQ-FIN-001</t>
  </si>
  <si>
    <t>mal-kabulden fatura-olustur.</t>
  </si>
  <si>
    <t>P13 skor16</t>
  </si>
  <si>
    <t>Kontrol</t>
  </si>
  <si>
    <t>Sipariş fiyat ↔ kabul miktar ↔ fatura.</t>
  </si>
  <si>
    <t>Kanıt yok.</t>
  </si>
  <si>
    <t>Fatura askı/fark süreci.</t>
  </si>
  <si>
    <t>P05 skor15</t>
  </si>
  <si>
    <t>REQ-PUR-008</t>
  </si>
  <si>
    <t>Tedarikçi</t>
  </si>
  <si>
    <t>Tedarikçi değerlendirme</t>
  </si>
  <si>
    <t>Skor/KPI tedarikçi.</t>
  </si>
  <si>
    <t>Kapsam kararı.</t>
  </si>
  <si>
    <t>DISI aday</t>
  </si>
  <si>
    <t>REQ-PUR-009</t>
  </si>
  <si>
    <t>Anlaşma</t>
  </si>
  <si>
    <t>Satınalma anlaşması fiyat bağ</t>
  </si>
  <si>
    <t>Anlaşmadan sipariş fiyatı.</t>
  </si>
  <si>
    <t>Tablo + thin CRUD; fiyat motoru yok.</t>
  </si>
  <si>
    <t>REQ-PUR-003;REQ-SAL-007</t>
  </si>
  <si>
    <t>Fiyat listesi ile birleştir.</t>
  </si>
  <si>
    <t>P28</t>
  </si>
  <si>
    <t>REQ-SAL-001</t>
  </si>
  <si>
    <t>Satış teklifi → sipariş</t>
  </si>
  <si>
    <t>Teklif CRUD + siparise-donustur.</t>
  </si>
  <si>
    <t>satis_teklifleri; /siparise-donustur; CRM firsat_id.</t>
  </si>
  <si>
    <t>REQ-CRM-007</t>
  </si>
  <si>
    <t>REQ-SAL-002</t>
  </si>
  <si>
    <t>Satış siparişi</t>
  </si>
  <si>
    <t>Sipariş + kalan sevk/irsaliye/fatura.</t>
  </si>
  <si>
    <t>siparisler; kalan_* alanları; sevk-emri-olustur.</t>
  </si>
  <si>
    <t>Rezervasyon ekle.</t>
  </si>
  <si>
    <t>P32 iskelet YAPILDI</t>
  </si>
  <si>
    <t>REQ-SAL-003</t>
  </si>
  <si>
    <t>Sevk</t>
  </si>
  <si>
    <t>Sevk emri</t>
  </si>
  <si>
    <t>Siparişten sevk emri.</t>
  </si>
  <si>
    <t>sevk_emirleri; routes/sevk_emirleri.js; siparisler sevk oluştur.</t>
  </si>
  <si>
    <t>ATP uyarısını güçlendir.</t>
  </si>
  <si>
    <t>P11 iskelet</t>
  </si>
  <si>
    <t>REQ-SAL-004</t>
  </si>
  <si>
    <t>İrsaliye</t>
  </si>
  <si>
    <t>İrsaliye onay + stok çıkış</t>
  </si>
  <si>
    <t>Onayda depo doğrulama, stok çıkış.</t>
  </si>
  <si>
    <t>irsaliyeler onayla; P04/P39 Dalga A; STOK_NEGATIF.</t>
  </si>
  <si>
    <t>P04/P39 YAPILDI</t>
  </si>
  <si>
    <t>REQ-SAL-005</t>
  </si>
  <si>
    <t>İrsaliyeden satış faturası</t>
  </si>
  <si>
    <t>Onaylı irsaliyeden fatura.</t>
  </si>
  <si>
    <t>irsaliyeler /fatura-olustur; durum kilidi Onayli.</t>
  </si>
  <si>
    <t>Liste filtresi tutarlılığı audit.</t>
  </si>
  <si>
    <t>P39 YAPILDI; P37 açık</t>
  </si>
  <si>
    <t>REQ-SAL-006</t>
  </si>
  <si>
    <t>Fatura liste filtresi (alış/satış)</t>
  </si>
  <si>
    <t>fatura_turu query tutarlılığı.</t>
  </si>
  <si>
    <t>UI alis/satis-faturalari ?fatura_turu=; PUT e-belge alanları şüpheli (P37).</t>
  </si>
  <si>
    <t>Kod audit gerekir.</t>
  </si>
  <si>
    <t>Endpoint/PUT audit + test.</t>
  </si>
  <si>
    <t>P37 skor20 YAPILMADI</t>
  </si>
  <si>
    <t>REQ-SAL-007</t>
  </si>
  <si>
    <t>Fiyat</t>
  </si>
  <si>
    <t>Fiyat listesi / iskonto</t>
  </si>
  <si>
    <t>Cari+stok+miktar fiyat.</t>
  </si>
  <si>
    <t>Fiyat listesi tablosu/motor yok.</t>
  </si>
  <si>
    <t>Teklif/sipariş manuel fiyat.</t>
  </si>
  <si>
    <t>REQ-MDM-010;REQ-MDM-001</t>
  </si>
  <si>
    <t>Fiyat koşulu motoru.</t>
  </si>
  <si>
    <t>P28 skor12</t>
  </si>
  <si>
    <t>REQ-SAL-008</t>
  </si>
  <si>
    <t>ATP</t>
  </si>
  <si>
    <t>ATP / kullanılabilir stok kontrolü</t>
  </si>
  <si>
    <t>Siparişte miktar ≤ kullanılabilir.</t>
  </si>
  <si>
    <t>Sevk oluştururken bakiye uyarı iskeleti (siparisler.js); rezervasyon yok.</t>
  </si>
  <si>
    <t>Sert ATP yok.</t>
  </si>
  <si>
    <t>Sipariş onayında sert kontrol.</t>
  </si>
  <si>
    <t>P11 skor16</t>
  </si>
  <si>
    <t>REQ-SAL-009</t>
  </si>
  <si>
    <t>İade</t>
  </si>
  <si>
    <t>Satış/alış iade süreçleri</t>
  </si>
  <si>
    <t>İade irsaliye/fatura.</t>
  </si>
  <si>
    <t>IADE DOCTYPE/süreç yok.</t>
  </si>
  <si>
    <t>REQ-SAL-004;REQ-PUR-005</t>
  </si>
  <si>
    <t>İade belge tipi + stok ters hareket.</t>
  </si>
  <si>
    <t>P27 skor16</t>
  </si>
  <si>
    <t>REQ-SAL-010</t>
  </si>
  <si>
    <t>Çıktı</t>
  </si>
  <si>
    <t>PDF/QR irsaliye-fatura</t>
  </si>
  <si>
    <t>Yazdırılabilir çıktı.</t>
  </si>
  <si>
    <t>PDF motoru yok.</t>
  </si>
  <si>
    <t>HTML/PDF şablon.</t>
  </si>
  <si>
    <t>P18 skor16</t>
  </si>
  <si>
    <t>REQ-SAL-011</t>
  </si>
  <si>
    <t>Ödeme</t>
  </si>
  <si>
    <t>Ödeme koşulları / vade belgede</t>
  </si>
  <si>
    <t>Belgede ödeme koşulu zorunlu.</t>
  </si>
  <si>
    <t>Cari kartta alanlar olabilir; belge zorunluluğu/tahsilat planı yok.</t>
  </si>
  <si>
    <t>REQ-FIN-003</t>
  </si>
  <si>
    <t>Belge alanı + vade hesap.</t>
  </si>
  <si>
    <t>P29 skor12</t>
  </si>
  <si>
    <t>REQ-CRM-001</t>
  </si>
  <si>
    <t>Aday</t>
  </si>
  <si>
    <t>Müşteri adayları + cariye dönüşüm</t>
  </si>
  <si>
    <t>Aday kartı ve dönüştür.</t>
  </si>
  <si>
    <t>crm_adaylar; /cariye-donustur; ekran crm-adaylar; C01-C02.</t>
  </si>
  <si>
    <t>C01-C02 Yapildi</t>
  </si>
  <si>
    <t>REQ-CRM-002</t>
  </si>
  <si>
    <t>Kontak</t>
  </si>
  <si>
    <t>CRM kontakları</t>
  </si>
  <si>
    <t>Aday/cari kontak.</t>
  </si>
  <si>
    <t>crm_kontaklar; C03.</t>
  </si>
  <si>
    <t>Cari kişilerle birleştirme kararı.</t>
  </si>
  <si>
    <t>C03</t>
  </si>
  <si>
    <t>Fırsat</t>
  </si>
  <si>
    <t>Fırsat + satırlar + aşama</t>
  </si>
  <si>
    <t>Pipeline fırsat.</t>
  </si>
  <si>
    <t>crm_firsatlar(+satirlari); aşamalar; C04-C05.</t>
  </si>
  <si>
    <t>C04-C05</t>
  </si>
  <si>
    <t>REQ-CRM-004</t>
  </si>
  <si>
    <t>Fırsat kapat</t>
  </si>
  <si>
    <t>Kazanıldı/kaybedildi kapatma.</t>
  </si>
  <si>
    <t>API /kapat; UI birincil buton zayıf (docs/19 kalan).</t>
  </si>
  <si>
    <t>UX eksik.</t>
  </si>
  <si>
    <t>Birincil kapat butonu.</t>
  </si>
  <si>
    <t>C06 Yapildi + kalan UX</t>
  </si>
  <si>
    <t>REQ-CRM-005</t>
  </si>
  <si>
    <t>Fırsat → satış teklifi</t>
  </si>
  <si>
    <t>Nested convert.</t>
  </si>
  <si>
    <t>/teklife-donustur; firsat_id; C07.</t>
  </si>
  <si>
    <t>C07</t>
  </si>
  <si>
    <t>REQ-CRM-006</t>
  </si>
  <si>
    <t>Faaliyet</t>
  </si>
  <si>
    <t>Faaliyet tipi / plan / faaliyet</t>
  </si>
  <si>
    <t>Aktivite yönetimi.</t>
  </si>
  <si>
    <t>crm_faaliyet_*; C08-C10.</t>
  </si>
  <si>
    <t>C08-C10</t>
  </si>
  <si>
    <t>Görev</t>
  </si>
  <si>
    <t>CRM görevleri</t>
  </si>
  <si>
    <t>Görev takibi.</t>
  </si>
  <si>
    <t>crm_gorevler; C11.</t>
  </si>
  <si>
    <t>C11</t>
  </si>
  <si>
    <t>REQ-CRM-008</t>
  </si>
  <si>
    <t>Kampanya</t>
  </si>
  <si>
    <t>Kampanya yönetimi</t>
  </si>
  <si>
    <t>Pazarlama kampanyası.</t>
  </si>
  <si>
    <t>C13 Yapilmadi; dalga dışı.</t>
  </si>
  <si>
    <t>C13</t>
  </si>
  <si>
    <t>REQ-CRM-009</t>
  </si>
  <si>
    <t>Anket</t>
  </si>
  <si>
    <t>Müşteri anketi.</t>
  </si>
  <si>
    <t>C14 Yapilmadi.</t>
  </si>
  <si>
    <t>Kapsam dışı önerilir.</t>
  </si>
  <si>
    <t>C14</t>
  </si>
  <si>
    <t>REQ-CRM-010</t>
  </si>
  <si>
    <t>Ajanda</t>
  </si>
  <si>
    <t>Ajanda / takvim UI</t>
  </si>
  <si>
    <t>Takvim görünümü.</t>
  </si>
  <si>
    <t>C15; plan listesi mevcut.</t>
  </si>
  <si>
    <t>Takvim veya ertele.</t>
  </si>
  <si>
    <t>C15</t>
  </si>
  <si>
    <t>REQ-CRM-011</t>
  </si>
  <si>
    <t>Cari kopya</t>
  </si>
  <si>
    <t>CRM müşteri kartı kopyası</t>
  </si>
  <si>
    <t>Ayrı CRM müşteri ekranı.</t>
  </si>
  <si>
    <t>C12; mevcut cari kullanılır (bilinçli).</t>
  </si>
  <si>
    <t>Kapsam dışı tut.</t>
  </si>
  <si>
    <t>C12</t>
  </si>
  <si>
    <t>BOM</t>
  </si>
  <si>
    <t>Ürün ağacı (çok seviyeli)</t>
  </si>
  <si>
    <t>BOM + bileşenler.</t>
  </si>
  <si>
    <t>urun_agaclari; 005/006; ekran urun-agaci; geçerlilik/min-max (016).</t>
  </si>
  <si>
    <t>U05</t>
  </si>
  <si>
    <t>REQ-PRD-002</t>
  </si>
  <si>
    <t>BOM seviye listesi / malzeme değişikliği</t>
  </si>
  <si>
    <t>BOM araçları.</t>
  </si>
  <si>
    <t>/bom/seviye-listesi; malzeme-degistir; ekranlar.</t>
  </si>
  <si>
    <t>REQ-PRD-003</t>
  </si>
  <si>
    <t>Varyant / konfigüratör</t>
  </si>
  <si>
    <t>Varyant BOM.</t>
  </si>
  <si>
    <t>P24; bilinçli yok.</t>
  </si>
  <si>
    <t>Yüksek eğer yapılırsa</t>
  </si>
  <si>
    <t>P24 skor6</t>
  </si>
  <si>
    <t>REQ-PRD-004</t>
  </si>
  <si>
    <t>Rota</t>
  </si>
  <si>
    <t>Rotalar + operasyonlar</t>
  </si>
  <si>
    <t>Rota şablon/varsayılan/geçerlilik.</t>
  </si>
  <si>
    <t>rotalar; 016 alanları; U06.</t>
  </si>
  <si>
    <t>REQ-PRD-005</t>
  </si>
  <si>
    <t>U06</t>
  </si>
  <si>
    <t>İş merkezi</t>
  </si>
  <si>
    <t>İş merkezleri</t>
  </si>
  <si>
    <t>Kaynak tanımı.</t>
  </si>
  <si>
    <t>is_merkezleri; ekran.</t>
  </si>
  <si>
    <t>REQ-PRD-006</t>
  </si>
  <si>
    <t>İş emri</t>
  </si>
  <si>
    <t>Üretim emirleri + tip</t>
  </si>
  <si>
    <t>Emir tipi, planlı/kesin, onay.</t>
  </si>
  <si>
    <t>uretim_emirleri; uretim_emri_tipleri; U01-U02; büyük route.</t>
  </si>
  <si>
    <t>Orta — karmaşık route</t>
  </si>
  <si>
    <t>Route parçalama / test.</t>
  </si>
  <si>
    <t>U01-U02</t>
  </si>
  <si>
    <t>REQ-PRD-007</t>
  </si>
  <si>
    <t>Siparişten / toplu iş emri</t>
  </si>
  <si>
    <t>Satış siparişinden WO UI.</t>
  </si>
  <si>
    <t>siparis-is-emri; toplu-is-emri; U03-U04. P12 docs/17 YAPILMADI → 18 kapandı.</t>
  </si>
  <si>
    <t>Sipariş formunda 2. convert (U09).</t>
  </si>
  <si>
    <t>P12 → U03 Yapildi; U09 Kismi</t>
  </si>
  <si>
    <t>REQ-PRD-008</t>
  </si>
  <si>
    <t>Operasyon</t>
  </si>
  <si>
    <t>Operasyon tamamlama</t>
  </si>
  <si>
    <t>Op tamamla + miktar kilidi.</t>
  </si>
  <si>
    <t>uretim_emirleri operasyon-tamamla.</t>
  </si>
  <si>
    <t>REQ-PRD-009</t>
  </si>
  <si>
    <t>Giriş</t>
  </si>
  <si>
    <t>Üretim girişi + stok</t>
  </si>
  <si>
    <t>Mamul giriş / tüketim.</t>
  </si>
  <si>
    <t>uretim-giris; stok motoru; ÇKK tetik (kalite).</t>
  </si>
  <si>
    <t>REQ-INV-001;REQ-QLT-003</t>
  </si>
  <si>
    <t>MRP</t>
  </si>
  <si>
    <t>MRP net ihtiyaç (v1)</t>
  </si>
  <si>
    <t>Emniyet+talep−stok−açık PO öneri listesi.</t>
  </si>
  <si>
    <t>mrpService; ekran mrp-hesap readOnly; otomatik talimat oluşturma yok; kapasite yok.</t>
  </si>
  <si>
    <t>Öneri→talep/WO otomasyonu yok.</t>
  </si>
  <si>
    <t>REQ-INV-010;REQ-PUR-001</t>
  </si>
  <si>
    <t>Öneriden SA talep/WO oluştur.</t>
  </si>
  <si>
    <t>P06 → docs/20 kısmi; U10 kapasite açık</t>
  </si>
  <si>
    <t>REQ-PRD-011</t>
  </si>
  <si>
    <t>Maliyet</t>
  </si>
  <si>
    <t>Fiili üretim maliyeti</t>
  </si>
  <si>
    <t>Tüketim+işçilik → birim maliyet.</t>
  </si>
  <si>
    <t>Ertele veya basit standart maliyet.</t>
  </si>
  <si>
    <t>P22 skor8</t>
  </si>
  <si>
    <t>REQ-PRD-012</t>
  </si>
  <si>
    <t>Kapasite</t>
  </si>
  <si>
    <t>Kapasite / çizelgeleme</t>
  </si>
  <si>
    <t>İş merkezi yük.</t>
  </si>
  <si>
    <t>Kanıt yok; Canias CAP.</t>
  </si>
  <si>
    <t>Kapsam dışı önerilir (v1).</t>
  </si>
  <si>
    <t>P23 skor6; Aşama2 Hayır</t>
  </si>
  <si>
    <t>REQ-PRD-013</t>
  </si>
  <si>
    <t>Yan ürün / fire</t>
  </si>
  <si>
    <t>Yan ürün ve fire üretimi</t>
  </si>
  <si>
    <t>WO yan ürün/fire kayıtları.</t>
  </si>
  <si>
    <t>Özel yan ürün akışı yok.</t>
  </si>
  <si>
    <t>Karar.</t>
  </si>
  <si>
    <t>INC/DISI</t>
  </si>
  <si>
    <t>REQ-PRD-014</t>
  </si>
  <si>
    <t>Fason</t>
  </si>
  <si>
    <t>Fason üretim</t>
  </si>
  <si>
    <t>Dış üretim süreci.</t>
  </si>
  <si>
    <t>Kanıt yok; YouTube Faz2 adayı.</t>
  </si>
  <si>
    <t>Faz2</t>
  </si>
  <si>
    <t>REQ-QLT-001</t>
  </si>
  <si>
    <t>Plan</t>
  </si>
  <si>
    <t>Kontrol planı + kriterler</t>
  </si>
  <si>
    <t>Plan/kriter tanımı.</t>
  </si>
  <si>
    <t>kk_kontrol_planlari/kriterleri; ekranlar; 018.</t>
  </si>
  <si>
    <t>P30 → docs/20</t>
  </si>
  <si>
    <t>REQ-QLT-002</t>
  </si>
  <si>
    <t>Stok–plan bağları + ret nedenleri</t>
  </si>
  <si>
    <t>Malzeme plan eşlemesi.</t>
  </si>
  <si>
    <t>kk_stok_planlari; kk_ret_nedenleri.</t>
  </si>
  <si>
    <t>GKK/ÇKK</t>
  </si>
  <si>
    <t>Mal kabul/üretim kalite emri.</t>
  </si>
  <si>
    <t>kaliteService + API kaydet/onayla/reddet; UI ekranları readOnly/liste odaklı; docs/20 API test OK.</t>
  </si>
  <si>
    <t>Kısmi ret/ölçüm UI formu sınırlı.</t>
  </si>
  <si>
    <t>REQ-PUR-005;REQ-PRD-009</t>
  </si>
  <si>
    <t>Ölçüm/ret UI formunu tamamla.</t>
  </si>
  <si>
    <t>docs/20 bilinçli sınır</t>
  </si>
  <si>
    <t>REQ-QLT-004</t>
  </si>
  <si>
    <t>Uygunsuzluk</t>
  </si>
  <si>
    <t>Uygunsuzluk kaydı</t>
  </si>
  <si>
    <t>NC kayıtları.</t>
  </si>
  <si>
    <t>kk_uygunsuzluklar tablosu (018); tam UI/süreç derinliği sınırlı.</t>
  </si>
  <si>
    <t>CAPA ile bağ yok.</t>
  </si>
  <si>
    <t>UI + CAPA.</t>
  </si>
  <si>
    <t>REQ-QLT-005</t>
  </si>
  <si>
    <t>CAPA</t>
  </si>
  <si>
    <t>Düzeltici faaliyet</t>
  </si>
  <si>
    <t>CAPA süreci.</t>
  </si>
  <si>
    <t>REQ-QLT-006</t>
  </si>
  <si>
    <t>Numune/tolerans</t>
  </si>
  <si>
    <t>Numune ve tolerans yönetimi</t>
  </si>
  <si>
    <t>İleri kalite.</t>
  </si>
  <si>
    <t>Kriterlerde tolerans alanları olabilir; numune süreci ayrı değil.</t>
  </si>
  <si>
    <t>İhtiyaç doğrula.</t>
  </si>
  <si>
    <t>Fatura master-detail.</t>
  </si>
  <si>
    <t>faturalar CRUD; zincir satışta güçlü, alışta bağ zayıf; muhasebe otomatik yok.</t>
  </si>
  <si>
    <t>AR/AP ve muhasebe entegrasyonu eksik.</t>
  </si>
  <si>
    <t>REQ-SAL-005;REQ-PUR-006</t>
  </si>
  <si>
    <t>Alış bağ + muhasebe öneri.</t>
  </si>
  <si>
    <t>Aşama2 kısmi; finans v1.x</t>
  </si>
  <si>
    <t>REQ-FIN-002</t>
  </si>
  <si>
    <t>Muhasebe</t>
  </si>
  <si>
    <t>Hesap planı</t>
  </si>
  <si>
    <t>Muhasebe hesapları.</t>
  </si>
  <si>
    <t>muhasebe_hesaplari; ekran hesap-plani.</t>
  </si>
  <si>
    <t>012</t>
  </si>
  <si>
    <t>Muhasebe belgeleri (manuel fiş)</t>
  </si>
  <si>
    <t>Fiş CRUD + onay + denge kontrolü.</t>
  </si>
  <si>
    <t>muhasebe_belgeleri onayla/onay-kaldir; denge check.</t>
  </si>
  <si>
    <t>Belgeden otomatik fiş ekle.</t>
  </si>
  <si>
    <t>Onaylı faturadan otomatik/öneri fiş.</t>
  </si>
  <si>
    <t>Otomatik entegrasyon yok.</t>
  </si>
  <si>
    <t>REQ-FIN-001;REQ-FIN-003</t>
  </si>
  <si>
    <t>Hesap belirleme kuralları.</t>
  </si>
  <si>
    <t>P16 skor15</t>
  </si>
  <si>
    <t>REQ-FIN-005</t>
  </si>
  <si>
    <t>Cari hareket</t>
  </si>
  <si>
    <t>Cari borç/alacak ekstre</t>
  </si>
  <si>
    <t>Fatura+ödeme hareketi.</t>
  </si>
  <si>
    <t>Cari hareket motoru yok.</t>
  </si>
  <si>
    <t>Cari hareket + tahsilat/ödeme.</t>
  </si>
  <si>
    <t>P17 skor12</t>
  </si>
  <si>
    <t>REQ-FIN-006</t>
  </si>
  <si>
    <t>Tahsilat/ödeme</t>
  </si>
  <si>
    <t>Tahsilat ve ödeme belgeleri</t>
  </si>
  <si>
    <t>Kasa/banka tahsilat.</t>
  </si>
  <si>
    <t>FIN temel tahsilat.</t>
  </si>
  <si>
    <t>Canias FIN Faz2/3</t>
  </si>
  <si>
    <t>REQ-FIN-007</t>
  </si>
  <si>
    <t>Rapor</t>
  </si>
  <si>
    <t>Mizan</t>
  </si>
  <si>
    <t>Hesap mizanı.</t>
  </si>
  <si>
    <t>/mizan; ekran mizan readOnly.</t>
  </si>
  <si>
    <t>REQ-FIN-008</t>
  </si>
  <si>
    <t>Vergi/kur</t>
  </si>
  <si>
    <t>Vergi motoru / çoklu kur</t>
  </si>
  <si>
    <t>KDV/kur motoru.</t>
  </si>
  <si>
    <t>Faturada KDV alanları olası; tam vergi/kur motoru yok (Aşama2 kısmi).</t>
  </si>
  <si>
    <t>Çoklu para birimi yok.</t>
  </si>
  <si>
    <t>REQ-FIN-009</t>
  </si>
  <si>
    <t>Mutabakat</t>
  </si>
  <si>
    <t>Cari/banka mutabakat</t>
  </si>
  <si>
    <t>Mutabakat araçları.</t>
  </si>
  <si>
    <t>Ertele.</t>
  </si>
  <si>
    <t>Faz3</t>
  </si>
  <si>
    <t>REQ-FIN-010</t>
  </si>
  <si>
    <t>e-Dönüşüm</t>
  </si>
  <si>
    <t>GİB e-fatura/e-irsaliye</t>
  </si>
  <si>
    <t>UBL+imza+gönderim.</t>
  </si>
  <si>
    <t>Alan iskeleti 013; entegrasyon yok.</t>
  </si>
  <si>
    <t>Ayrı proje.</t>
  </si>
  <si>
    <t>Kritik dış bağımlılık</t>
  </si>
  <si>
    <t>Ayrı proje olarak tut.</t>
  </si>
  <si>
    <t>P19 skor3; Aşama2 Hayır</t>
  </si>
  <si>
    <t>REQ-HR-001</t>
  </si>
  <si>
    <t>Personel</t>
  </si>
  <si>
    <t>Personel / özlük</t>
  </si>
  <si>
    <t>İK personel kartı.</t>
  </si>
  <si>
    <t>Modül/tablo yok. kisiler kullanıcı için kullanılıyor.</t>
  </si>
  <si>
    <t>Kapsam dışı (mevcut proje).</t>
  </si>
  <si>
    <t>—</t>
  </si>
  <si>
    <t>Aşama2 dışı</t>
  </si>
  <si>
    <t>REQ-HR-002</t>
  </si>
  <si>
    <t>Puantaj</t>
  </si>
  <si>
    <t>İzin / vardiya / puantaj / bordro</t>
  </si>
  <si>
    <t>İK operasyonları.</t>
  </si>
  <si>
    <t>Kapsam dışı.</t>
  </si>
  <si>
    <t>REQ-MNT-001</t>
  </si>
  <si>
    <t>Ekipman</t>
  </si>
  <si>
    <t>Ekipman / bakım emirleri</t>
  </si>
  <si>
    <t>CMMS.</t>
  </si>
  <si>
    <t>REQ-RPT-001</t>
  </si>
  <si>
    <t>Liste</t>
  </si>
  <si>
    <t>Ekran filtre + dışa aktarma</t>
  </si>
  <si>
    <t>LIKE filtre var; Excel export?</t>
  </si>
  <si>
    <t>Filtre paneli var; CSV/Excel export kanıtı yok.</t>
  </si>
  <si>
    <t>Export eksik.</t>
  </si>
  <si>
    <t>Liste export.</t>
  </si>
  <si>
    <t>REQ-RPT-002</t>
  </si>
  <si>
    <t>Dashboard</t>
  </si>
  <si>
    <t>Operasyonel kokpit</t>
  </si>
  <si>
    <t>KPI panosu.</t>
  </si>
  <si>
    <t>Yok.</t>
  </si>
  <si>
    <t>P33.</t>
  </si>
  <si>
    <t>P33</t>
  </si>
  <si>
    <t>REQ-RPT-003</t>
  </si>
  <si>
    <t>Yetkiye bağlı veri görünürlüğü</t>
  </si>
  <si>
    <t>Row-level security.</t>
  </si>
  <si>
    <t>Auth/ACL yok.</t>
  </si>
  <si>
    <t>REQ-PLT-006;REQ-PLT-007</t>
  </si>
  <si>
    <t>Auth sonrası RLS.</t>
  </si>
  <si>
    <t>REQ-TEC-001</t>
  </si>
  <si>
    <t>Migration</t>
  </si>
  <si>
    <t>Sıralı migration + IF NOT EXISTS</t>
  </si>
  <si>
    <t>Güvenli şema evrimi.</t>
  </si>
  <si>
    <t>db/migrate.js BEGIN/COMMIT; 001–018 IF NOT EXISTS; DROP TABLE yok.</t>
  </si>
  <si>
    <t>Koruma; DATABASE.md güncelle.</t>
  </si>
  <si>
    <t>Dalga A risk notu kapandı</t>
  </si>
  <si>
    <t>REQ-TEC-002</t>
  </si>
  <si>
    <t>Transaction</t>
  </si>
  <si>
    <t>Yazma işlemlerinde withTransaction</t>
  </si>
  <si>
    <t>Atomik belge+stok.</t>
  </si>
  <si>
    <t>src/utils/withTransaction.js; mutasyon route’larında yaygın.</t>
  </si>
  <si>
    <t>Tüm route’ların kapsaması audit edilmeli.</t>
  </si>
  <si>
    <t>Coverage checklist.</t>
  </si>
  <si>
    <t>REQ-TEC-003</t>
  </si>
  <si>
    <t>Bütünlük</t>
  </si>
  <si>
    <t>Master-detail PK/FK</t>
  </si>
  <si>
    <t>CASCADE çocuklar; header FK’ler.</t>
  </si>
  <si>
    <t>Çocuklarda ON DELETE CASCADE yaygın; bazı header FK’lerde ON DELETE yok.</t>
  </si>
  <si>
    <t>Yetim belge riski sınırlı.</t>
  </si>
  <si>
    <t>FK politikası dokümante et.</t>
  </si>
  <si>
    <t>P01 sonrası</t>
  </si>
  <si>
    <t>Test</t>
  </si>
  <si>
    <t>Unit/integration/CI test.</t>
  </si>
  <si>
    <t>npm test stub; yalnızca demo:cycle / demo:ornek-dongu.</t>
  </si>
  <si>
    <t>Regresyon riski yüksek.</t>
  </si>
  <si>
    <t>Kritik yollar için test suite.</t>
  </si>
  <si>
    <t>docs/18 kalan</t>
  </si>
  <si>
    <t>Güvenlik</t>
  </si>
  <si>
    <t>DB şifresi .env.</t>
  </si>
  <si>
    <t>dotenv kullanılıyor; eski dokümanlarda gömülü şifre uyarısı (01).</t>
  </si>
  <si>
    <t>Repo taraması gerekir.</t>
  </si>
  <si>
    <t>Secret audit + .gitignore.</t>
  </si>
  <si>
    <t>01_DOCUMENT_ANALYSIS</t>
  </si>
  <si>
    <t>REQ-TEC-006</t>
  </si>
  <si>
    <t>Performans</t>
  </si>
  <si>
    <t>N+1 / indeks</t>
  </si>
  <si>
    <t>Liste sorguları optimize.</t>
  </si>
  <si>
    <t>Sistematik N+1 audit yok; büyük listelerde risk.</t>
  </si>
  <si>
    <t>EXPLAIN + indeks geçişi.</t>
  </si>
  <si>
    <t>P-list teknik borç</t>
  </si>
  <si>
    <t>REQ-TEC-007</t>
  </si>
  <si>
    <t>Backup</t>
  </si>
  <si>
    <t>Yedekleme / geri yükleme</t>
  </si>
  <si>
    <t>PG backup prosedürü.</t>
  </si>
  <si>
    <t>Kodda prosedür yok; altyapı ops.</t>
  </si>
  <si>
    <t>Ops runbook eksik.</t>
  </si>
  <si>
    <t>Yüksek (ops)</t>
  </si>
  <si>
    <t>Backup runbook.</t>
  </si>
  <si>
    <t>REQ-TEC-008</t>
  </si>
  <si>
    <t>Mimari</t>
  </si>
  <si>
    <t>Frontend stack</t>
  </si>
  <si>
    <t>React+Vite hedef vs vanilla SPA.</t>
  </si>
  <si>
    <t>ARCHITECTURE React planlı; üretimde public/app.js monolith ~5k satır.</t>
  </si>
  <si>
    <t>Bakım maliyeti.</t>
  </si>
  <si>
    <t>Karar: vanilla devam / React migrasyon.</t>
  </si>
  <si>
    <t>05_TECHNOLOGY</t>
  </si>
  <si>
    <t>REQ-TEC-009</t>
  </si>
  <si>
    <t>Dokümantasyon</t>
  </si>
  <si>
    <t>Yaşayan ekran/katalog dokümanı</t>
  </si>
  <si>
    <t>docs/09 güncelliği.</t>
  </si>
  <si>
    <t>docs/09 build notu eski (20261014d); CRM/parti sonrası güncellenmemiş olabilir.</t>
  </si>
  <si>
    <t>Doküman sapması.</t>
  </si>
  <si>
    <t>docs/09 güncelle.</t>
  </si>
  <si>
    <t>REQ-TEC-010</t>
  </si>
  <si>
    <t>Legacy</t>
  </si>
  <si>
    <t>belge_numaralari vs kod_serileri</t>
  </si>
  <si>
    <t>Çift numaralandırma modeli.</t>
  </si>
  <si>
    <t>belge_numaralari şemada; runtime kod_serileri.</t>
  </si>
  <si>
    <t>Kafa karışıklığı.</t>
  </si>
  <si>
    <t>Legacy tabloyu deprecate et.</t>
  </si>
  <si>
    <t>REQ-UX-001</t>
  </si>
  <si>
    <t>UX</t>
  </si>
  <si>
    <t>Dönüştür diyalogları (depo seçimi)</t>
  </si>
  <si>
    <t>Prompt yerine form diyaloğu + timeline.</t>
  </si>
  <si>
    <t>P31 Dalga A YAPILDI; U09 sipariş formunda 2. convert hâlâ kısmi.</t>
  </si>
  <si>
    <t>Sipariş formu 2. convert eksik.</t>
  </si>
  <si>
    <t>Sipariş formuna WO convert.</t>
  </si>
  <si>
    <t>P31 YAPILDI; U09 Kismi</t>
  </si>
  <si>
    <t>REQ-UX-002</t>
  </si>
  <si>
    <t>Açık miktar</t>
  </si>
  <si>
    <t>Kalem bazlı açık miktar takibi</t>
  </si>
  <si>
    <t>Kısmi sevk/irsaliye/fatura.</t>
  </si>
  <si>
    <t>siparis_detay sevk/irsaliye/fatura edilen; kalan_* API.</t>
  </si>
  <si>
    <t>P32 YAPILDI iskelet</t>
  </si>
  <si>
    <t>Başlık</t>
  </si>
  <si>
    <t>Önem</t>
  </si>
  <si>
    <t>Kanıt</t>
  </si>
  <si>
    <t>Önceki ref</t>
  </si>
  <si>
    <t>Öneri</t>
  </si>
  <si>
    <t>TD-01</t>
  </si>
  <si>
    <t>JWT / auth yok — header spoof</t>
  </si>
  <si>
    <t>yetki.js; docs/20</t>
  </si>
  <si>
    <t>Auth öncelikli</t>
  </si>
  <si>
    <t>TD-02</t>
  </si>
  <si>
    <t>Otomatik test yok</t>
  </si>
  <si>
    <t>package.json test stub</t>
  </si>
  <si>
    <t>Kritik path testleri</t>
  </si>
  <si>
    <t>TD-03</t>
  </si>
  <si>
    <t>DROP TABLE riski</t>
  </si>
  <si>
    <t>migrations: DROP TABLE yok; yalnız CHECK DROP</t>
  </si>
  <si>
    <t>Dalga A notu</t>
  </si>
  <si>
    <t>Politika koru</t>
  </si>
  <si>
    <t>TD-04</t>
  </si>
  <si>
    <t>Transaction kapsamı</t>
  </si>
  <si>
    <t>withTransaction yaygın; %100 coverage doğrulanmadı</t>
  </si>
  <si>
    <t>Route checklist</t>
  </si>
  <si>
    <t>TD-05</t>
  </si>
  <si>
    <t>Master-detail FK politikası</t>
  </si>
  <si>
    <t>CASCADE çocuklar; header FK varyasyonu</t>
  </si>
  <si>
    <t>P01</t>
  </si>
  <si>
    <t>Standartlaştır</t>
  </si>
  <si>
    <t>TD-06</t>
  </si>
  <si>
    <t>Snapshot vs ilişkisel tutarlılık</t>
  </si>
  <si>
    <t>Belge satırlarında stok kod/ad snapshot olası</t>
  </si>
  <si>
    <t>gap raporları</t>
  </si>
  <si>
    <t>TD-07</t>
  </si>
  <si>
    <t>Sipariş türü / belge tipi tanımları</t>
  </si>
  <si>
    <t>belge_tipleri var; geniş destek tabloları kısmi</t>
  </si>
  <si>
    <t>P15</t>
  </si>
  <si>
    <t>Destek tablo UI</t>
  </si>
  <si>
    <t>TD-08</t>
  </si>
  <si>
    <t>N+1 sorgu riski</t>
  </si>
  <si>
    <t>Sistematik audit yok</t>
  </si>
  <si>
    <t>Profil + indeks</t>
  </si>
  <si>
    <t>TD-09</t>
  </si>
  <si>
    <t>Stok hareketleri / fatura-irsaliye akışı</t>
  </si>
  <si>
    <t>Satış zinciri güçlü; alış fatura bağ ve rezervasyon eksik</t>
  </si>
  <si>
    <t>P03/P13</t>
  </si>
  <si>
    <t>Dalga B</t>
  </si>
  <si>
    <t>TD-10</t>
  </si>
  <si>
    <t>SA teklif zinciri thin CRUD</t>
  </si>
  <si>
    <t>_belgeCrud factory</t>
  </si>
  <si>
    <t>Dönüşüm workflow</t>
  </si>
  <si>
    <t>TD-11</t>
  </si>
  <si>
    <t>E-posta: nodemailer opsiyonel</t>
  </si>
  <si>
    <t>epostaService require optional</t>
  </si>
  <si>
    <t>P34/docs/20</t>
  </si>
  <si>
    <t>Bağımlılık ekle</t>
  </si>
  <si>
    <t>TD-12</t>
  </si>
  <si>
    <t>DATABASE.md / CHANGELOG güncelliği</t>
  </si>
  <si>
    <t>DATABASE.md 001–003; CHANGELOG 0.3.2 CRM öncesi</t>
  </si>
  <si>
    <t>Doküman sync</t>
  </si>
  <si>
    <t>TD-13</t>
  </si>
  <si>
    <t>KK UI readOnly vs API yazma</t>
  </si>
  <si>
    <t>app.js kk-emirleri readOnly; API kaydet/onay</t>
  </si>
  <si>
    <t>UI aksiyonları</t>
  </si>
  <si>
    <t>TD-14</t>
  </si>
  <si>
    <t>belge_numaralari legacy</t>
  </si>
  <si>
    <t>002 tablo; runtime kod_serileri</t>
  </si>
  <si>
    <t>Deprecate</t>
  </si>
  <si>
    <t>TD-15</t>
  </si>
  <si>
    <t>Secret / gömülü şifre uyarısı</t>
  </si>
  <si>
    <t>docs/01 uyarısı; dotenv var</t>
  </si>
  <si>
    <t>01</t>
  </si>
  <si>
    <t>Repo secret scan</t>
  </si>
  <si>
    <t>Kaynak</t>
  </si>
  <si>
    <t>Kod</t>
  </si>
  <si>
    <t>Önceki skor</t>
  </si>
  <si>
    <t>Önceki durum</t>
  </si>
  <si>
    <t>2026-10-16 doğrulama</t>
  </si>
  <si>
    <t>Matris ID</t>
  </si>
  <si>
    <t>docs/16+17 P-listesi</t>
  </si>
  <si>
    <t>YAPILDI</t>
  </si>
  <si>
    <t>014 + belgeOmurga</t>
  </si>
  <si>
    <t>P02</t>
  </si>
  <si>
    <t>hareket_kodu zorunlu bağ</t>
  </si>
  <si>
    <t>P03</t>
  </si>
  <si>
    <t>YAPILMADI</t>
  </si>
  <si>
    <t>Rezervasyon yok</t>
  </si>
  <si>
    <t>P04</t>
  </si>
  <si>
    <t>İrsaliye depo doğrulama</t>
  </si>
  <si>
    <t>P05</t>
  </si>
  <si>
    <t>3-way match yok</t>
  </si>
  <si>
    <t>P06</t>
  </si>
  <si>
    <t>YAPILMADI→sonra kısmi</t>
  </si>
  <si>
    <t>docs/20 MRP Hesap; otomasyon yok</t>
  </si>
  <si>
    <t>P07</t>
  </si>
  <si>
    <t>stok_statu 018 (rezerve hariç)</t>
  </si>
  <si>
    <t>P08</t>
  </si>
  <si>
    <t>Manuel transfer var; TRO yok</t>
  </si>
  <si>
    <t>P09</t>
  </si>
  <si>
    <t>SAYIM tipi var; sayım UI yok</t>
  </si>
  <si>
    <t>P10</t>
  </si>
  <si>
    <t>bilinçli erteleme</t>
  </si>
  <si>
    <t>Tek belge kalem motoru</t>
  </si>
  <si>
    <t>P11</t>
  </si>
  <si>
    <t>YAPILMADI (iskelet)</t>
  </si>
  <si>
    <t>Sevk uyarı iskeleti</t>
  </si>
  <si>
    <t>P12</t>
  </si>
  <si>
    <t>YAPILMADI→U03 Yapildi</t>
  </si>
  <si>
    <t>siparis-is-emri ekranı</t>
  </si>
  <si>
    <t>P13</t>
  </si>
  <si>
    <t>Mal kabul→alış fatura yok</t>
  </si>
  <si>
    <t>P14</t>
  </si>
  <si>
    <t>Firma var; multi-company zorunluluk yok</t>
  </si>
  <si>
    <t>KISMİ</t>
  </si>
  <si>
    <t>belge_tipleri; diğer destek kısmi</t>
  </si>
  <si>
    <t>P16</t>
  </si>
  <si>
    <t>Belge→muhasebe yok</t>
  </si>
  <si>
    <t>P17</t>
  </si>
  <si>
    <t>Cari ekstre yok</t>
  </si>
  <si>
    <t>P18</t>
  </si>
  <si>
    <t>PDF/QR yok</t>
  </si>
  <si>
    <t>P19</t>
  </si>
  <si>
    <t>GİB ayrı proje</t>
  </si>
  <si>
    <t>JWT yok</t>
  </si>
  <si>
    <t>P21</t>
  </si>
  <si>
    <t>Audit yok</t>
  </si>
  <si>
    <t>P22</t>
  </si>
  <si>
    <t>Fiili maliyet yok</t>
  </si>
  <si>
    <t>P23</t>
  </si>
  <si>
    <t>Kapasite yok</t>
  </si>
  <si>
    <t>P24</t>
  </si>
  <si>
    <t>Varyant yok</t>
  </si>
  <si>
    <t>P25</t>
  </si>
  <si>
    <t>YAPILMADI→parti yapıldı</t>
  </si>
  <si>
    <t>Lot OK; seri yok</t>
  </si>
  <si>
    <t>REQ-MDM-014;REQ-MDM-015</t>
  </si>
  <si>
    <t>P26</t>
  </si>
  <si>
    <t>Raf alanları; hareket konum yok</t>
  </si>
  <si>
    <t>P27</t>
  </si>
  <si>
    <t>İade yok</t>
  </si>
  <si>
    <t>Fiyat listesi yok</t>
  </si>
  <si>
    <t>P29</t>
  </si>
  <si>
    <t>Belge vade zorunluluğu yok</t>
  </si>
  <si>
    <t>P30</t>
  </si>
  <si>
    <t>YAPILMADI→docs/20</t>
  </si>
  <si>
    <t>GKK/ÇKK API OK; UI kısmi</t>
  </si>
  <si>
    <t>P31</t>
  </si>
  <si>
    <t>UX iyileşti; U09 kısmi</t>
  </si>
  <si>
    <t>P32</t>
  </si>
  <si>
    <t>YAPILDI (iskelet)</t>
  </si>
  <si>
    <t>kalan miktarlar</t>
  </si>
  <si>
    <t>Kokpit yok</t>
  </si>
  <si>
    <t>P34</t>
  </si>
  <si>
    <t>YAPILMADI→kısmi</t>
  </si>
  <si>
    <t>E-posta kuyruk; SMTP opsiyonel</t>
  </si>
  <si>
    <t>P35</t>
  </si>
  <si>
    <t>Dil tablosu var; UI yok</t>
  </si>
  <si>
    <t>P36</t>
  </si>
  <si>
    <t>İkame yok</t>
  </si>
  <si>
    <t>P37</t>
  </si>
  <si>
    <t>Fatura filtre/PUT audit gerekir</t>
  </si>
  <si>
    <t>P38</t>
  </si>
  <si>
    <t>STOK_NEGATIF</t>
  </si>
  <si>
    <t>P39</t>
  </si>
  <si>
    <t>İrsaliye durum kilidi</t>
  </si>
  <si>
    <t>SA teklif→sipariş yok</t>
  </si>
  <si>
    <t>docs/19_CRM_YAPILAN_YAPILMAYAN.csv</t>
  </si>
  <si>
    <t>C01</t>
  </si>
  <si>
    <t>Yapildi</t>
  </si>
  <si>
    <t>crm-adaylar</t>
  </si>
  <si>
    <t>C02</t>
  </si>
  <si>
    <t>cariye-donustur</t>
  </si>
  <si>
    <t>crm-kontaklar</t>
  </si>
  <si>
    <t>C04</t>
  </si>
  <si>
    <t>crm-firsatlar</t>
  </si>
  <si>
    <t>C05</t>
  </si>
  <si>
    <t>crm-firsat-asamalari</t>
  </si>
  <si>
    <t>C06</t>
  </si>
  <si>
    <t>API var; UI buton zayıf</t>
  </si>
  <si>
    <t>firsat→teklif</t>
  </si>
  <si>
    <t>C08</t>
  </si>
  <si>
    <t>faaliyet tipleri</t>
  </si>
  <si>
    <t>C09</t>
  </si>
  <si>
    <t>faaliyet planı</t>
  </si>
  <si>
    <t>C10</t>
  </si>
  <si>
    <t>faaliyetler</t>
  </si>
  <si>
    <t>görevler</t>
  </si>
  <si>
    <t>Yapilmadi</t>
  </si>
  <si>
    <t>bilinçli; cari kullanılır</t>
  </si>
  <si>
    <t>kampanya</t>
  </si>
  <si>
    <t>anket</t>
  </si>
  <si>
    <t>ajanda UI</t>
  </si>
  <si>
    <t>docs/18_UYUMSOFT_YAPILAN_YAPILMAYAN.csv</t>
  </si>
  <si>
    <t>U01</t>
  </si>
  <si>
    <t>uretim_emri_tipleri</t>
  </si>
  <si>
    <t>U02</t>
  </si>
  <si>
    <t>planli_kesin</t>
  </si>
  <si>
    <t>U03</t>
  </si>
  <si>
    <t>siparis-is-emri</t>
  </si>
  <si>
    <t>U04</t>
  </si>
  <si>
    <t>toplu-is-emri</t>
  </si>
  <si>
    <t>BOM geçerlilik</t>
  </si>
  <si>
    <t>rota geçerlilik</t>
  </si>
  <si>
    <t>U07</t>
  </si>
  <si>
    <t>stok_depo; zorunlu değil</t>
  </si>
  <si>
    <t>U08</t>
  </si>
  <si>
    <t>Yapilmadi→CRM 19</t>
  </si>
  <si>
    <t>CRM C01–C11</t>
  </si>
  <si>
    <t>U09</t>
  </si>
  <si>
    <t>Kismi</t>
  </si>
  <si>
    <t>2. convert eksik</t>
  </si>
  <si>
    <t>U10</t>
  </si>
  <si>
    <t>Yapilmadi→MRP kısmi</t>
  </si>
  <si>
    <t>MRP v1 var; kapasite yok</t>
  </si>
  <si>
    <t>REQ-PRD-010;REQ-PRD-012</t>
  </si>
  <si>
    <t>Not: docs/17 Dalga A listesi 2026-10-15 tarihli; P06/P07/P12/P25/P30/P34 ve U08/U10 sonraki dalgalarda (18–20) kısmen/kapanmış olabilir — doğrulama sütunu günceldir.</t>
  </si>
  <si>
    <t>Faz</t>
  </si>
  <si>
    <t>Ad</t>
  </si>
  <si>
    <t>Önerilen matris ID’leri</t>
  </si>
  <si>
    <t>Gerekçe</t>
  </si>
  <si>
    <t>Veri bütünlüğü, güvenlik ve kritik hatalar</t>
  </si>
  <si>
    <t>REQ-PLT-006, REQ-TEC-004, REQ-TEC-005, REQ-INV-004, REQ-INV-008, REQ-SAL-006, REQ-TEC-002</t>
  </si>
  <si>
    <t>Auth spoof, test yok, rezervasyon/sayım boşlukları, fatura filtre audit.</t>
  </si>
  <si>
    <t>Temel ERP altyapısı ve ana veriler</t>
  </si>
  <si>
    <t>REQ-PLT-007, REQ-PLT-008, REQ-PLT-001, REQ-MDM-003, REQ-MDM-005, REQ-PLT-017</t>
  </si>
  <si>
    <t>Menü/depo yetkisi, multi-company, stok-depo zorunluluk, e-posta SMTP.</t>
  </si>
  <si>
    <t>Temel iş süreçleri</t>
  </si>
  <si>
    <t>REQ-PUR-004, REQ-PUR-006, REQ-INV-007, REQ-SAL-008, REQ-QLT-003, REQ-SAL-009</t>
  </si>
  <si>
    <t>SA teklif dönüşüm, alış fatura bağ, TRO, ATP, KK UI, iade.</t>
  </si>
  <si>
    <t>Modüller arası entegrasyonlar</t>
  </si>
  <si>
    <t>REQ-FIN-004, REQ-FIN-005, REQ-FIN-006, REQ-PUR-007, REQ-PRD-010, REQ-SAL-007</t>
  </si>
  <si>
    <t>Muhasebe entegrasyonu, cari hareket, 3-way match, MRP otomasyon, fiyat listesi.</t>
  </si>
  <si>
    <t>Raporlama, otomasyon ve ileri özellikler</t>
  </si>
  <si>
    <t>REQ-PLT-018, REQ-RPT-001, REQ-INV-009, REQ-MDM-015, REQ-PRD-011, REQ-FIN-010</t>
  </si>
  <si>
    <t>Kokpit, export, WMS/seri/maliyet; GİB ayrı proje.</t>
  </si>
  <si>
    <t>Tamamlanmış (yeniden yapılmayacak örnekler)</t>
  </si>
  <si>
    <t>P01,P02,P04,P38,P39,P32 iskelet, U01–U07, C01–C11 çekirdek, parti/GKK API, liste ID seçim fix</t>
  </si>
  <si>
    <t>Excel “Kullanıcı kararı” sütununu doldurmadan geliştirme başlatılmamalı.</t>
  </si>
  <si>
    <t>ERP Kapsam Analizi ve Eksik Özellikler Matrisi</t>
  </si>
  <si>
    <t>2026-10-16T19:01:10.439Z</t>
  </si>
  <si>
    <t>Yöntem</t>
  </si>
  <si>
    <t>Kod (routes/services/public/migrations) + docs/01–20 + P/C/U CSV yeniden doğrulama</t>
  </si>
  <si>
    <t>Sınır</t>
  </si>
  <si>
    <t>Analiz-only; kod değişikliği yok</t>
  </si>
  <si>
    <t>Önceki skor sistemi</t>
  </si>
  <si>
    <t>docs/16: skor = öncelik × yapılabilirlik (1–5). Matristeki “Önem puanı” ayrı 1–5 ölçeğidir; karıştırılmamalı.</t>
  </si>
  <si>
    <t>Durum etiketleri</t>
  </si>
  <si>
    <t>Mevcut ve doğrulandı | Kısmen mevcut / eksik | Tanımlanmış ancak çalıştığı doğrulanamadı | Mevcut değil | İncelenmesi gerekiyor | Proje kapsamı dışında / karar bekliyor</t>
  </si>
  <si>
    <t>Çıktı yolları</t>
  </si>
  <si>
    <t>/opt/cursor/artifacts/reports/ERP_Kapsam_Analizi_Eksik_Ozellikler_Matrisi.xlsx ; /workspace/docs/raporlar/ERP_Kapsam_Analizi_Eksik_Ozellikler_Matrisi.xlsx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</si>
</sst>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</font>
    <font>
      <b/>
      <color rgb="FFC00000"/>
    </font>
    <font>
      <b/>
      <color rgb="FFED7D31"/>
    </font>
    <font>
      <i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833C0C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5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6" fillId="0" borderId="0" xfId="0" applyFont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8" borderId="0" xfId="0" applyFont="1" applyFill="1"/>
    <xf numFmtId="0" fontId="4" fillId="9" borderId="0" xfId="0" applyFont="1" applyFill="1"/>
    <xf numFmtId="0" fontId="0" fillId="0" borderId="0" xfId="0" applyAlignment="1">
      <alignment wrapText="1"/>
    </xf>
    <xf numFmtId="0" fontId="4" fillId="10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8" customWidth="1"/>
    <col min="3" max="3" width="5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2" s="2" customFormat="1" x14ac:dyDescent="0.25">
      <c r="A6" s="2" t="s">
        <v>7</v>
      </c>
      <c r="B6" s="2">
        <f>COUNTA('B. ERP Gereksinim Matrisi'!A2:A129)</f>
      </c>
    </row>
    <row r="8" spans="1:1" s="3" customFormat="1" x14ac:dyDescent="0.25">
      <c r="A8" s="3" t="s">
        <v>8</v>
      </c>
    </row>
    <row r="9" spans="1:2" x14ac:dyDescent="0.25">
      <c r="A9" t="s">
        <v>9</v>
      </c>
      <c r="B9">
        <f>COUNTIF('B. ERP Gereksinim Matrisi'!F:F,"Mevcut ve doğrulandı")</f>
      </c>
    </row>
    <row r="10" spans="1:2" x14ac:dyDescent="0.25">
      <c r="A10" t="s">
        <v>10</v>
      </c>
      <c r="B10">
        <f>COUNTIF('B. ERP Gereksinim Matrisi'!F:F,"Kısmen mevcut / eksik")</f>
      </c>
    </row>
    <row r="11" spans="1:2" x14ac:dyDescent="0.25">
      <c r="A11" t="s">
        <v>11</v>
      </c>
      <c r="B11">
        <f>COUNTIF('B. ERP Gereksinim Matrisi'!F:F,"Tanımlanmış ancak çalıştığı doğrulanamadı")</f>
      </c>
    </row>
    <row r="12" spans="1:2" x14ac:dyDescent="0.25">
      <c r="A12" t="s">
        <v>12</v>
      </c>
      <c r="B12">
        <f>COUNTIF('B. ERP Gereksinim Matrisi'!F:F,"Mevcut değil")</f>
      </c>
    </row>
    <row r="13" spans="1:2" x14ac:dyDescent="0.25">
      <c r="A13" t="s">
        <v>13</v>
      </c>
      <c r="B13">
        <f>COUNTIF('B. ERP Gereksinim Matrisi'!F:F,"İncelenmesi gerekiyor")</f>
      </c>
    </row>
    <row r="14" spans="1:2" x14ac:dyDescent="0.25">
      <c r="A14" t="s">
        <v>14</v>
      </c>
      <c r="B14">
        <f>COUNTIF('B. ERP Gereksinim Matrisi'!F:F,"Proje kapsamı dışında / karar bekliyor")</f>
      </c>
    </row>
    <row r="16" spans="1:1" s="3" customFormat="1" x14ac:dyDescent="0.25">
      <c r="A16" s="3" t="s">
        <v>15</v>
      </c>
    </row>
    <row r="17" spans="1:2" x14ac:dyDescent="0.25">
      <c r="A17" t="s">
        <v>16</v>
      </c>
      <c r="B17">
        <f>COUNTIF('B. ERP Gereksinim Matrisi'!I:I,5)</f>
      </c>
    </row>
    <row r="18" spans="1:2" x14ac:dyDescent="0.25">
      <c r="A18" t="s">
        <v>17</v>
      </c>
      <c r="B18">
        <f>COUNTIF('B. ERP Gereksinim Matrisi'!I:I,4)</f>
      </c>
    </row>
    <row r="19" spans="1:2" x14ac:dyDescent="0.25">
      <c r="A19" t="s">
        <v>18</v>
      </c>
      <c r="B19">
        <f>COUNTIF('B. ERP Gereksinim Matrisi'!I:I,3)</f>
      </c>
    </row>
    <row r="20" spans="1:2" x14ac:dyDescent="0.25">
      <c r="A20" t="s">
        <v>19</v>
      </c>
      <c r="B20">
        <f>COUNTIF('B. ERP Gereksinim Matrisi'!I:I,2)</f>
      </c>
    </row>
    <row r="21" spans="1:2" x14ac:dyDescent="0.25">
      <c r="A21" t="s">
        <v>20</v>
      </c>
      <c r="B21">
        <f>COUNTIF('B. ERP Gereksinim Matrisi'!I:I,1)</f>
      </c>
    </row>
    <row r="23" spans="1:1" s="3" customFormat="1" x14ac:dyDescent="0.25">
      <c r="A23" s="3" t="s">
        <v>21</v>
      </c>
    </row>
    <row r="24" spans="1:4" x14ac:dyDescent="0.25">
      <c r="A24" t="s">
        <v>22</v>
      </c>
      <c r="B24" t="s">
        <v>23</v>
      </c>
      <c r="C24" t="s">
        <v>9</v>
      </c>
      <c r="D24" t="s">
        <v>24</v>
      </c>
    </row>
    <row r="25" spans="1:4" x14ac:dyDescent="0.25">
      <c r="A25" t="s">
        <v>25</v>
      </c>
      <c r="B25">
        <v>23</v>
      </c>
      <c r="C25">
        <v>11</v>
      </c>
      <c r="D25">
        <v>12</v>
      </c>
    </row>
    <row r="26" spans="1:4" x14ac:dyDescent="0.25">
      <c r="A26" t="s">
        <v>26</v>
      </c>
      <c r="B26">
        <v>15</v>
      </c>
      <c r="C26">
        <v>7</v>
      </c>
      <c r="D26">
        <v>8</v>
      </c>
    </row>
    <row r="27" spans="1:4" x14ac:dyDescent="0.25">
      <c r="A27" t="s">
        <v>27</v>
      </c>
      <c r="B27">
        <v>12</v>
      </c>
      <c r="C27">
        <v>6</v>
      </c>
      <c r="D27">
        <v>6</v>
      </c>
    </row>
    <row r="28" spans="1:4" x14ac:dyDescent="0.25">
      <c r="A28" t="s">
        <v>28</v>
      </c>
      <c r="B28">
        <v>9</v>
      </c>
      <c r="C28">
        <v>3</v>
      </c>
      <c r="D28">
        <v>6</v>
      </c>
    </row>
    <row r="29" spans="1:4" x14ac:dyDescent="0.25">
      <c r="A29" t="s">
        <v>29</v>
      </c>
      <c r="B29">
        <v>12</v>
      </c>
      <c r="C29">
        <v>6</v>
      </c>
      <c r="D29">
        <v>6</v>
      </c>
    </row>
    <row r="30" spans="1:4" x14ac:dyDescent="0.25">
      <c r="A30" t="s">
        <v>30</v>
      </c>
      <c r="B30">
        <v>11</v>
      </c>
      <c r="C30">
        <v>6</v>
      </c>
      <c r="D30">
        <v>2</v>
      </c>
    </row>
    <row r="31" spans="1:4" x14ac:dyDescent="0.25">
      <c r="A31" t="s">
        <v>31</v>
      </c>
      <c r="B31">
        <v>14</v>
      </c>
      <c r="C31">
        <v>8</v>
      </c>
      <c r="D31">
        <v>4</v>
      </c>
    </row>
    <row r="32" spans="1:4" x14ac:dyDescent="0.25">
      <c r="A32" t="s">
        <v>32</v>
      </c>
      <c r="B32">
        <v>6</v>
      </c>
      <c r="C32">
        <v>2</v>
      </c>
      <c r="D32">
        <v>4</v>
      </c>
    </row>
    <row r="33" spans="1:4" x14ac:dyDescent="0.25">
      <c r="A33" t="s">
        <v>33</v>
      </c>
      <c r="B33">
        <v>10</v>
      </c>
      <c r="C33">
        <v>3</v>
      </c>
      <c r="D33">
        <v>6</v>
      </c>
    </row>
    <row r="34" spans="1:4" x14ac:dyDescent="0.25">
      <c r="A34" t="s">
        <v>34</v>
      </c>
      <c r="B34">
        <v>2</v>
      </c>
      <c r="C34">
        <v>0</v>
      </c>
      <c r="D34">
        <v>0</v>
      </c>
    </row>
    <row r="35" spans="1:4" x14ac:dyDescent="0.25">
      <c r="A35" t="s">
        <v>35</v>
      </c>
      <c r="B35">
        <v>1</v>
      </c>
      <c r="C35">
        <v>0</v>
      </c>
      <c r="D35">
        <v>0</v>
      </c>
    </row>
    <row r="36" spans="1:4" x14ac:dyDescent="0.25">
      <c r="A36" t="s">
        <v>36</v>
      </c>
      <c r="B36">
        <v>3</v>
      </c>
      <c r="C36">
        <v>0</v>
      </c>
      <c r="D36">
        <v>3</v>
      </c>
    </row>
    <row r="37" spans="1:4" x14ac:dyDescent="0.25">
      <c r="A37" t="s">
        <v>37</v>
      </c>
      <c r="B37">
        <v>10</v>
      </c>
      <c r="C37">
        <v>2</v>
      </c>
      <c r="D37">
        <v>8</v>
      </c>
    </row>
    <row r="39" spans="1:1" s="3" customFormat="1" x14ac:dyDescent="0.25">
      <c r="A39" s="3" t="s">
        <v>38</v>
      </c>
    </row>
    <row r="40" spans="1:3" x14ac:dyDescent="0.25">
      <c r="A40" t="s">
        <v>39</v>
      </c>
      <c r="B40" t="s">
        <v>40</v>
      </c>
      <c r="C40" t="s">
        <v>41</v>
      </c>
    </row>
    <row r="41" spans="1:3" x14ac:dyDescent="0.25">
      <c r="A41" t="s">
        <v>42</v>
      </c>
      <c r="B41" t="s">
        <v>43</v>
      </c>
      <c r="C41" t="s">
        <v>44</v>
      </c>
    </row>
    <row r="42" spans="1:3" x14ac:dyDescent="0.25">
      <c r="A42" t="s">
        <v>45</v>
      </c>
      <c r="B42" t="s">
        <v>46</v>
      </c>
      <c r="C42" t="s">
        <v>47</v>
      </c>
    </row>
    <row r="43" spans="1:3" x14ac:dyDescent="0.25">
      <c r="A43" t="s">
        <v>48</v>
      </c>
      <c r="B43" t="s">
        <v>49</v>
      </c>
      <c r="C43" t="s">
        <v>50</v>
      </c>
    </row>
    <row r="44" spans="1:3" x14ac:dyDescent="0.25">
      <c r="A44" t="s">
        <v>51</v>
      </c>
      <c r="B44" t="s">
        <v>52</v>
      </c>
      <c r="C44" t="s">
        <v>53</v>
      </c>
    </row>
    <row r="45" spans="1:3" x14ac:dyDescent="0.25">
      <c r="A45" t="s">
        <v>54</v>
      </c>
      <c r="B45" t="s">
        <v>55</v>
      </c>
      <c r="C45" t="s">
        <v>56</v>
      </c>
    </row>
    <row r="46" spans="1:3" x14ac:dyDescent="0.25">
      <c r="A46" t="s">
        <v>57</v>
      </c>
      <c r="B46" t="s">
        <v>58</v>
      </c>
      <c r="C46" t="s">
        <v>59</v>
      </c>
    </row>
    <row r="47" spans="1:3" x14ac:dyDescent="0.25">
      <c r="A47" t="s">
        <v>60</v>
      </c>
      <c r="B47" t="s">
        <v>61</v>
      </c>
      <c r="C47" t="s">
        <v>62</v>
      </c>
    </row>
    <row r="48" spans="1:3" x14ac:dyDescent="0.25">
      <c r="A48" t="s">
        <v>63</v>
      </c>
      <c r="B48" t="s">
        <v>64</v>
      </c>
      <c r="C48" t="s">
        <v>65</v>
      </c>
    </row>
    <row r="49" spans="1:3" x14ac:dyDescent="0.25">
      <c r="A49" t="s">
        <v>66</v>
      </c>
      <c r="B49" t="s">
        <v>67</v>
      </c>
      <c r="C49" t="s">
        <v>68</v>
      </c>
    </row>
    <row r="51" spans="1:1" s="3" customFormat="1" x14ac:dyDescent="0.25">
      <c r="A51" s="3" t="s">
        <v>69</v>
      </c>
    </row>
    <row r="52" spans="1:1" x14ac:dyDescent="0.25">
      <c r="A52" t="s">
        <v>70</v>
      </c>
    </row>
    <row r="53" spans="1:1" x14ac:dyDescent="0.25">
      <c r="A53" t="s">
        <v>71</v>
      </c>
    </row>
    <row r="54" spans="1:1" x14ac:dyDescent="0.25">
      <c r="A54" t="s">
        <v>72</v>
      </c>
    </row>
    <row r="55" spans="1:1" x14ac:dyDescent="0.25">
      <c r="A55" t="s">
        <v>73</v>
      </c>
    </row>
    <row r="56" spans="1:1" x14ac:dyDescent="0.25">
      <c r="A56" t="s">
        <v>74</v>
      </c>
    </row>
    <row r="57" spans="1:1" x14ac:dyDescent="0.25">
      <c r="A57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36" customWidth="1"/>
    <col min="5" max="5" width="48" customWidth="1"/>
    <col min="6" max="6" width="28" customWidth="1"/>
    <col min="7" max="7" width="48" customWidth="1"/>
    <col min="8" max="8" width="36" customWidth="1"/>
    <col min="9" max="9" width="12" customWidth="1"/>
    <col min="10" max="10" width="22" customWidth="1"/>
    <col min="11" max="11" width="28" customWidth="1"/>
    <col min="12" max="12" width="12" customWidth="1"/>
    <col min="13" max="14" width="36" customWidth="1"/>
    <col min="15" max="15" width="22" customWidth="1"/>
    <col min="16" max="16" width="18" customWidth="1"/>
  </cols>
  <sheetData>
    <row r="1" ht="32" customHeight="1" spans="1:16" s="4" customFormat="1" x14ac:dyDescent="0.25">
      <c r="A1" s="4" t="s">
        <v>76</v>
      </c>
      <c r="B1" s="4" t="s">
        <v>22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  <c r="H1" s="4" t="s">
        <v>82</v>
      </c>
      <c r="I1" s="4" t="s">
        <v>83</v>
      </c>
      <c r="J1" s="4" t="s">
        <v>84</v>
      </c>
      <c r="K1" s="4" t="s">
        <v>85</v>
      </c>
      <c r="L1" s="4" t="s">
        <v>86</v>
      </c>
      <c r="M1" s="4" t="s">
        <v>87</v>
      </c>
      <c r="N1" s="4" t="s">
        <v>88</v>
      </c>
      <c r="O1" s="4" t="s">
        <v>89</v>
      </c>
      <c r="P1" s="4" t="s">
        <v>90</v>
      </c>
    </row>
    <row r="2" spans="1:16" s="5" customFormat="1" x14ac:dyDescent="0.25">
      <c r="A2" s="5" t="s">
        <v>54</v>
      </c>
      <c r="B2" s="5" t="s">
        <v>25</v>
      </c>
      <c r="C2" s="5" t="s">
        <v>91</v>
      </c>
      <c r="D2" s="5" t="s">
        <v>55</v>
      </c>
      <c r="E2" s="5" t="s">
        <v>92</v>
      </c>
      <c r="F2" s="6" t="s">
        <v>10</v>
      </c>
      <c r="G2" s="5" t="s">
        <v>93</v>
      </c>
      <c r="H2" s="5" t="s">
        <v>94</v>
      </c>
      <c r="I2" s="7">
        <v>5</v>
      </c>
      <c r="J2" s="5" t="s">
        <v>95</v>
      </c>
      <c r="K2" s="5" t="s">
        <v>96</v>
      </c>
      <c r="L2" s="5">
        <v>15</v>
      </c>
      <c r="M2" s="5" t="s">
        <v>97</v>
      </c>
      <c r="N2" s="5" t="s">
        <v>98</v>
      </c>
      <c r="O2" s="5" t="s">
        <v>99</v>
      </c>
      <c r="P2" s="5" t="s">
        <v>99</v>
      </c>
    </row>
    <row r="3" spans="1:16" s="5" customFormat="1" x14ac:dyDescent="0.25">
      <c r="A3" s="5" t="s">
        <v>96</v>
      </c>
      <c r="B3" s="5" t="s">
        <v>25</v>
      </c>
      <c r="C3" s="5" t="s">
        <v>91</v>
      </c>
      <c r="D3" s="5" t="s">
        <v>100</v>
      </c>
      <c r="E3" s="5" t="s">
        <v>101</v>
      </c>
      <c r="F3" s="8" t="s">
        <v>9</v>
      </c>
      <c r="G3" s="5" t="s">
        <v>102</v>
      </c>
      <c r="H3" s="5" t="s">
        <v>99</v>
      </c>
      <c r="I3" s="7">
        <v>5</v>
      </c>
      <c r="J3" s="5" t="s">
        <v>103</v>
      </c>
      <c r="K3" s="5" t="s">
        <v>54</v>
      </c>
      <c r="L3" s="5">
        <v>90</v>
      </c>
      <c r="M3" s="5" t="s">
        <v>104</v>
      </c>
      <c r="N3" s="5" t="s">
        <v>105</v>
      </c>
      <c r="O3" s="5" t="s">
        <v>99</v>
      </c>
      <c r="P3" s="5" t="s">
        <v>99</v>
      </c>
    </row>
    <row r="4" spans="1:16" s="5" customFormat="1" x14ac:dyDescent="0.25">
      <c r="A4" s="5" t="s">
        <v>106</v>
      </c>
      <c r="B4" s="5" t="s">
        <v>25</v>
      </c>
      <c r="C4" s="5" t="s">
        <v>91</v>
      </c>
      <c r="D4" s="5" t="s">
        <v>107</v>
      </c>
      <c r="E4" s="5" t="s">
        <v>108</v>
      </c>
      <c r="F4" s="8" t="s">
        <v>9</v>
      </c>
      <c r="G4" s="5" t="s">
        <v>109</v>
      </c>
      <c r="H4" s="5" t="s">
        <v>99</v>
      </c>
      <c r="I4" s="7">
        <v>5</v>
      </c>
      <c r="J4" s="5" t="s">
        <v>103</v>
      </c>
      <c r="K4" s="5" t="s">
        <v>96</v>
      </c>
      <c r="L4" s="5">
        <v>90</v>
      </c>
      <c r="M4" s="5" t="s">
        <v>110</v>
      </c>
      <c r="N4" s="5" t="s">
        <v>111</v>
      </c>
      <c r="O4" s="5" t="s">
        <v>99</v>
      </c>
      <c r="P4" s="5" t="s">
        <v>99</v>
      </c>
    </row>
    <row r="5" spans="1:16" s="5" customFormat="1" x14ac:dyDescent="0.25">
      <c r="A5" s="5" t="s">
        <v>51</v>
      </c>
      <c r="B5" s="5" t="s">
        <v>25</v>
      </c>
      <c r="C5" s="5" t="s">
        <v>112</v>
      </c>
      <c r="D5" s="5" t="s">
        <v>52</v>
      </c>
      <c r="E5" s="5" t="s">
        <v>113</v>
      </c>
      <c r="F5" s="6" t="s">
        <v>10</v>
      </c>
      <c r="G5" s="5" t="s">
        <v>114</v>
      </c>
      <c r="H5" s="5" t="s">
        <v>115</v>
      </c>
      <c r="I5" s="7">
        <v>5</v>
      </c>
      <c r="J5" s="5" t="s">
        <v>116</v>
      </c>
      <c r="K5" s="5" t="s">
        <v>39</v>
      </c>
      <c r="L5" s="5">
        <v>5</v>
      </c>
      <c r="M5" s="5" t="s">
        <v>117</v>
      </c>
      <c r="N5" s="5" t="s">
        <v>118</v>
      </c>
      <c r="O5" s="5" t="s">
        <v>99</v>
      </c>
      <c r="P5" s="5" t="s">
        <v>99</v>
      </c>
    </row>
    <row r="6" spans="1:16" s="5" customFormat="1" x14ac:dyDescent="0.25">
      <c r="A6" s="5" t="s">
        <v>119</v>
      </c>
      <c r="B6" s="5" t="s">
        <v>25</v>
      </c>
      <c r="C6" s="5" t="s">
        <v>112</v>
      </c>
      <c r="D6" s="5" t="s">
        <v>120</v>
      </c>
      <c r="E6" s="5" t="s">
        <v>121</v>
      </c>
      <c r="F6" s="6" t="s">
        <v>10</v>
      </c>
      <c r="G6" s="5" t="s">
        <v>122</v>
      </c>
      <c r="H6" s="5" t="s">
        <v>123</v>
      </c>
      <c r="I6" s="9">
        <v>4</v>
      </c>
      <c r="J6" s="5" t="s">
        <v>124</v>
      </c>
      <c r="K6" s="5" t="s">
        <v>51</v>
      </c>
      <c r="L6" s="5">
        <v>20</v>
      </c>
      <c r="M6" s="5" t="s">
        <v>125</v>
      </c>
      <c r="N6" s="5" t="s">
        <v>126</v>
      </c>
      <c r="O6" s="5" t="s">
        <v>99</v>
      </c>
      <c r="P6" s="5" t="s">
        <v>99</v>
      </c>
    </row>
    <row r="7" spans="1:16" s="5" customFormat="1" x14ac:dyDescent="0.25">
      <c r="A7" s="5" t="s">
        <v>39</v>
      </c>
      <c r="B7" s="5" t="s">
        <v>25</v>
      </c>
      <c r="C7" s="5" t="s">
        <v>127</v>
      </c>
      <c r="D7" s="5" t="s">
        <v>40</v>
      </c>
      <c r="E7" s="5" t="s">
        <v>128</v>
      </c>
      <c r="F7" s="10" t="s">
        <v>12</v>
      </c>
      <c r="G7" s="5" t="s">
        <v>129</v>
      </c>
      <c r="H7" s="5" t="s">
        <v>130</v>
      </c>
      <c r="I7" s="7">
        <v>5</v>
      </c>
      <c r="J7" s="5" t="s">
        <v>131</v>
      </c>
      <c r="K7" s="5" t="s">
        <v>99</v>
      </c>
      <c r="L7" s="5">
        <v>1</v>
      </c>
      <c r="M7" s="5" t="s">
        <v>132</v>
      </c>
      <c r="N7" s="5" t="s">
        <v>133</v>
      </c>
      <c r="O7" s="5" t="s">
        <v>99</v>
      </c>
      <c r="P7" s="5" t="s">
        <v>99</v>
      </c>
    </row>
    <row r="8" spans="1:16" s="5" customFormat="1" x14ac:dyDescent="0.25">
      <c r="A8" s="5" t="s">
        <v>134</v>
      </c>
      <c r="B8" s="5" t="s">
        <v>25</v>
      </c>
      <c r="C8" s="5" t="s">
        <v>127</v>
      </c>
      <c r="D8" s="5" t="s">
        <v>135</v>
      </c>
      <c r="E8" s="5" t="s">
        <v>136</v>
      </c>
      <c r="F8" s="10" t="s">
        <v>12</v>
      </c>
      <c r="G8" s="5" t="s">
        <v>137</v>
      </c>
      <c r="H8" s="5" t="s">
        <v>138</v>
      </c>
      <c r="I8" s="9">
        <v>4</v>
      </c>
      <c r="J8" s="5" t="s">
        <v>139</v>
      </c>
      <c r="K8" s="5" t="s">
        <v>39</v>
      </c>
      <c r="L8" s="5">
        <v>6</v>
      </c>
      <c r="M8" s="5" t="s">
        <v>140</v>
      </c>
      <c r="N8" s="5" t="s">
        <v>141</v>
      </c>
      <c r="O8" s="5" t="s">
        <v>99</v>
      </c>
      <c r="P8" s="5" t="s">
        <v>99</v>
      </c>
    </row>
    <row r="9" spans="1:16" s="5" customFormat="1" x14ac:dyDescent="0.25">
      <c r="A9" s="5" t="s">
        <v>142</v>
      </c>
      <c r="B9" s="5" t="s">
        <v>25</v>
      </c>
      <c r="C9" s="5" t="s">
        <v>127</v>
      </c>
      <c r="D9" s="5" t="s">
        <v>143</v>
      </c>
      <c r="E9" s="5" t="s">
        <v>144</v>
      </c>
      <c r="F9" s="10" t="s">
        <v>12</v>
      </c>
      <c r="G9" s="5" t="s">
        <v>145</v>
      </c>
      <c r="H9" s="5" t="s">
        <v>146</v>
      </c>
      <c r="I9" s="9">
        <v>4</v>
      </c>
      <c r="J9" s="5" t="s">
        <v>139</v>
      </c>
      <c r="K9" s="5" t="s">
        <v>39</v>
      </c>
      <c r="L9" s="5">
        <v>7</v>
      </c>
      <c r="M9" s="5" t="s">
        <v>147</v>
      </c>
      <c r="N9" s="5" t="s">
        <v>126</v>
      </c>
      <c r="O9" s="5" t="s">
        <v>99</v>
      </c>
      <c r="P9" s="5" t="s">
        <v>99</v>
      </c>
    </row>
    <row r="10" spans="1:16" s="5" customFormat="1" x14ac:dyDescent="0.25">
      <c r="A10" s="5" t="s">
        <v>148</v>
      </c>
      <c r="B10" s="5" t="s">
        <v>25</v>
      </c>
      <c r="C10" s="5" t="s">
        <v>127</v>
      </c>
      <c r="D10" s="5" t="s">
        <v>149</v>
      </c>
      <c r="E10" s="5" t="s">
        <v>150</v>
      </c>
      <c r="F10" s="8" t="s">
        <v>9</v>
      </c>
      <c r="G10" s="5" t="s">
        <v>151</v>
      </c>
      <c r="H10" s="5" t="s">
        <v>99</v>
      </c>
      <c r="I10" s="7">
        <v>5</v>
      </c>
      <c r="J10" s="5" t="s">
        <v>152</v>
      </c>
      <c r="K10" s="5" t="s">
        <v>39</v>
      </c>
      <c r="L10" s="5">
        <v>25</v>
      </c>
      <c r="M10" s="5" t="s">
        <v>153</v>
      </c>
      <c r="N10" s="5" t="s">
        <v>154</v>
      </c>
      <c r="O10" s="5" t="s">
        <v>99</v>
      </c>
      <c r="P10" s="5" t="s">
        <v>99</v>
      </c>
    </row>
    <row r="11" spans="1:16" s="5" customFormat="1" x14ac:dyDescent="0.25">
      <c r="A11" s="5" t="s">
        <v>155</v>
      </c>
      <c r="B11" s="5" t="s">
        <v>25</v>
      </c>
      <c r="C11" s="5" t="s">
        <v>127</v>
      </c>
      <c r="D11" s="5" t="s">
        <v>156</v>
      </c>
      <c r="E11" s="5" t="s">
        <v>157</v>
      </c>
      <c r="F11" s="8" t="s">
        <v>9</v>
      </c>
      <c r="G11" s="5" t="s">
        <v>158</v>
      </c>
      <c r="H11" s="5" t="s">
        <v>99</v>
      </c>
      <c r="I11" s="7">
        <v>5</v>
      </c>
      <c r="J11" s="5" t="s">
        <v>152</v>
      </c>
      <c r="K11" s="5" t="s">
        <v>39</v>
      </c>
      <c r="L11" s="5">
        <v>25</v>
      </c>
      <c r="M11" s="5" t="s">
        <v>153</v>
      </c>
      <c r="N11" s="5" t="s">
        <v>159</v>
      </c>
      <c r="O11" s="5" t="s">
        <v>99</v>
      </c>
      <c r="P11" s="5" t="s">
        <v>99</v>
      </c>
    </row>
    <row r="12" spans="1:16" s="5" customFormat="1" x14ac:dyDescent="0.25">
      <c r="A12" s="5" t="s">
        <v>160</v>
      </c>
      <c r="B12" s="5" t="s">
        <v>25</v>
      </c>
      <c r="C12" s="5" t="s">
        <v>161</v>
      </c>
      <c r="D12" s="5" t="s">
        <v>162</v>
      </c>
      <c r="E12" s="5" t="s">
        <v>163</v>
      </c>
      <c r="F12" s="8" t="s">
        <v>9</v>
      </c>
      <c r="G12" s="5" t="s">
        <v>164</v>
      </c>
      <c r="H12" s="5" t="s">
        <v>99</v>
      </c>
      <c r="I12" s="9">
        <v>4</v>
      </c>
      <c r="J12" s="5" t="s">
        <v>103</v>
      </c>
      <c r="K12" s="5" t="s">
        <v>99</v>
      </c>
      <c r="L12" s="5">
        <v>80</v>
      </c>
      <c r="M12" s="5" t="s">
        <v>165</v>
      </c>
      <c r="N12" s="5" t="s">
        <v>166</v>
      </c>
      <c r="O12" s="5" t="s">
        <v>99</v>
      </c>
      <c r="P12" s="5" t="s">
        <v>99</v>
      </c>
    </row>
    <row r="13" spans="1:16" s="5" customFormat="1" x14ac:dyDescent="0.25">
      <c r="A13" s="5" t="s">
        <v>167</v>
      </c>
      <c r="B13" s="5" t="s">
        <v>25</v>
      </c>
      <c r="C13" s="5" t="s">
        <v>168</v>
      </c>
      <c r="D13" s="5" t="s">
        <v>169</v>
      </c>
      <c r="E13" s="5" t="s">
        <v>170</v>
      </c>
      <c r="F13" s="8" t="s">
        <v>9</v>
      </c>
      <c r="G13" s="5" t="s">
        <v>171</v>
      </c>
      <c r="H13" s="5" t="s">
        <v>99</v>
      </c>
      <c r="I13" s="7">
        <v>5</v>
      </c>
      <c r="J13" s="5" t="s">
        <v>103</v>
      </c>
      <c r="K13" s="5" t="s">
        <v>99</v>
      </c>
      <c r="L13" s="5">
        <v>85</v>
      </c>
      <c r="M13" s="5" t="s">
        <v>110</v>
      </c>
      <c r="N13" s="5" t="s">
        <v>172</v>
      </c>
      <c r="O13" s="5" t="s">
        <v>99</v>
      </c>
      <c r="P13" s="5" t="s">
        <v>99</v>
      </c>
    </row>
    <row r="14" spans="1:16" s="5" customFormat="1" x14ac:dyDescent="0.25">
      <c r="A14" s="5" t="s">
        <v>173</v>
      </c>
      <c r="B14" s="5" t="s">
        <v>25</v>
      </c>
      <c r="C14" s="5" t="s">
        <v>174</v>
      </c>
      <c r="D14" s="5" t="s">
        <v>175</v>
      </c>
      <c r="E14" s="5" t="s">
        <v>176</v>
      </c>
      <c r="F14" s="8" t="s">
        <v>9</v>
      </c>
      <c r="G14" s="5" t="s">
        <v>177</v>
      </c>
      <c r="H14" s="5" t="s">
        <v>99</v>
      </c>
      <c r="I14" s="9">
        <v>4</v>
      </c>
      <c r="J14" s="5" t="s">
        <v>103</v>
      </c>
      <c r="K14" s="5" t="s">
        <v>99</v>
      </c>
      <c r="L14" s="5">
        <v>70</v>
      </c>
      <c r="M14" s="5" t="s">
        <v>178</v>
      </c>
      <c r="N14" s="5" t="s">
        <v>179</v>
      </c>
      <c r="O14" s="5" t="s">
        <v>99</v>
      </c>
      <c r="P14" s="5" t="s">
        <v>99</v>
      </c>
    </row>
    <row r="15" spans="1:16" s="5" customFormat="1" x14ac:dyDescent="0.25">
      <c r="A15" s="5" t="s">
        <v>180</v>
      </c>
      <c r="B15" s="5" t="s">
        <v>25</v>
      </c>
      <c r="C15" s="5" t="s">
        <v>181</v>
      </c>
      <c r="D15" s="5" t="s">
        <v>182</v>
      </c>
      <c r="E15" s="5" t="s">
        <v>183</v>
      </c>
      <c r="F15" s="8" t="s">
        <v>9</v>
      </c>
      <c r="G15" s="5" t="s">
        <v>184</v>
      </c>
      <c r="H15" s="5" t="s">
        <v>99</v>
      </c>
      <c r="I15" s="7">
        <v>5</v>
      </c>
      <c r="J15" s="5" t="s">
        <v>103</v>
      </c>
      <c r="K15" s="5" t="s">
        <v>173</v>
      </c>
      <c r="L15" s="5">
        <v>70</v>
      </c>
      <c r="M15" s="5" t="s">
        <v>110</v>
      </c>
      <c r="N15" s="5" t="s">
        <v>185</v>
      </c>
      <c r="O15" s="5" t="s">
        <v>99</v>
      </c>
      <c r="P15" s="5" t="s">
        <v>99</v>
      </c>
    </row>
    <row r="16" spans="1:16" s="5" customFormat="1" x14ac:dyDescent="0.25">
      <c r="A16" s="5" t="s">
        <v>186</v>
      </c>
      <c r="B16" s="5" t="s">
        <v>25</v>
      </c>
      <c r="C16" s="5" t="s">
        <v>187</v>
      </c>
      <c r="D16" s="5" t="s">
        <v>188</v>
      </c>
      <c r="E16" s="5" t="s">
        <v>189</v>
      </c>
      <c r="F16" s="8" t="s">
        <v>9</v>
      </c>
      <c r="G16" s="5" t="s">
        <v>190</v>
      </c>
      <c r="H16" s="5" t="s">
        <v>99</v>
      </c>
      <c r="I16" s="7">
        <v>5</v>
      </c>
      <c r="J16" s="5" t="s">
        <v>103</v>
      </c>
      <c r="K16" s="5" t="s">
        <v>99</v>
      </c>
      <c r="L16" s="5">
        <v>70</v>
      </c>
      <c r="M16" s="5" t="s">
        <v>191</v>
      </c>
      <c r="N16" s="5" t="s">
        <v>192</v>
      </c>
      <c r="O16" s="5" t="s">
        <v>99</v>
      </c>
      <c r="P16" s="5" t="s">
        <v>99</v>
      </c>
    </row>
    <row r="17" spans="1:16" s="5" customFormat="1" x14ac:dyDescent="0.25">
      <c r="A17" s="5" t="s">
        <v>193</v>
      </c>
      <c r="B17" s="5" t="s">
        <v>25</v>
      </c>
      <c r="C17" s="5" t="s">
        <v>194</v>
      </c>
      <c r="D17" s="5" t="s">
        <v>195</v>
      </c>
      <c r="E17" s="5" t="s">
        <v>196</v>
      </c>
      <c r="F17" s="10" t="s">
        <v>12</v>
      </c>
      <c r="G17" s="5" t="s">
        <v>197</v>
      </c>
      <c r="H17" s="5" t="s">
        <v>198</v>
      </c>
      <c r="I17" s="5">
        <v>3</v>
      </c>
      <c r="J17" s="5" t="s">
        <v>124</v>
      </c>
      <c r="K17" s="5" t="s">
        <v>39</v>
      </c>
      <c r="L17" s="5">
        <v>55</v>
      </c>
      <c r="M17" s="5" t="s">
        <v>199</v>
      </c>
      <c r="N17" s="5" t="s">
        <v>200</v>
      </c>
      <c r="O17" s="5" t="s">
        <v>99</v>
      </c>
      <c r="P17" s="5" t="s">
        <v>99</v>
      </c>
    </row>
    <row r="18" spans="1:16" s="5" customFormat="1" x14ac:dyDescent="0.25">
      <c r="A18" s="5" t="s">
        <v>201</v>
      </c>
      <c r="B18" s="5" t="s">
        <v>25</v>
      </c>
      <c r="C18" s="5" t="s">
        <v>202</v>
      </c>
      <c r="D18" s="5" t="s">
        <v>203</v>
      </c>
      <c r="E18" s="5" t="s">
        <v>204</v>
      </c>
      <c r="F18" s="6" t="s">
        <v>10</v>
      </c>
      <c r="G18" s="5" t="s">
        <v>205</v>
      </c>
      <c r="H18" s="5" t="s">
        <v>206</v>
      </c>
      <c r="I18" s="5">
        <v>3</v>
      </c>
      <c r="J18" s="5" t="s">
        <v>124</v>
      </c>
      <c r="K18" s="5" t="s">
        <v>160</v>
      </c>
      <c r="L18" s="5">
        <v>45</v>
      </c>
      <c r="M18" s="5" t="s">
        <v>207</v>
      </c>
      <c r="N18" s="5" t="s">
        <v>208</v>
      </c>
      <c r="O18" s="5" t="s">
        <v>99</v>
      </c>
      <c r="P18" s="5" t="s">
        <v>99</v>
      </c>
    </row>
    <row r="19" spans="1:16" s="5" customFormat="1" x14ac:dyDescent="0.25">
      <c r="A19" s="5" t="s">
        <v>209</v>
      </c>
      <c r="B19" s="5" t="s">
        <v>25</v>
      </c>
      <c r="C19" s="5" t="s">
        <v>202</v>
      </c>
      <c r="D19" s="5" t="s">
        <v>210</v>
      </c>
      <c r="E19" s="5" t="s">
        <v>211</v>
      </c>
      <c r="F19" s="10" t="s">
        <v>12</v>
      </c>
      <c r="G19" s="5" t="s">
        <v>212</v>
      </c>
      <c r="H19" s="5" t="s">
        <v>99</v>
      </c>
      <c r="I19" s="5">
        <v>3</v>
      </c>
      <c r="J19" s="5" t="s">
        <v>103</v>
      </c>
      <c r="K19" s="5" t="s">
        <v>99</v>
      </c>
      <c r="L19" s="5">
        <v>100</v>
      </c>
      <c r="M19" s="5" t="s">
        <v>213</v>
      </c>
      <c r="N19" s="5" t="s">
        <v>214</v>
      </c>
      <c r="O19" s="5" t="s">
        <v>99</v>
      </c>
      <c r="P19" s="5" t="s">
        <v>99</v>
      </c>
    </row>
    <row r="20" spans="1:16" s="5" customFormat="1" x14ac:dyDescent="0.25">
      <c r="A20" s="5" t="s">
        <v>215</v>
      </c>
      <c r="B20" s="5" t="s">
        <v>25</v>
      </c>
      <c r="C20" s="5" t="s">
        <v>216</v>
      </c>
      <c r="D20" s="5" t="s">
        <v>217</v>
      </c>
      <c r="E20" s="5" t="s">
        <v>218</v>
      </c>
      <c r="F20" s="6" t="s">
        <v>10</v>
      </c>
      <c r="G20" s="5" t="s">
        <v>219</v>
      </c>
      <c r="H20" s="5" t="s">
        <v>220</v>
      </c>
      <c r="I20" s="5">
        <v>3</v>
      </c>
      <c r="J20" s="5" t="s">
        <v>124</v>
      </c>
      <c r="K20" s="5" t="s">
        <v>39</v>
      </c>
      <c r="L20" s="5">
        <v>60</v>
      </c>
      <c r="M20" s="5" t="s">
        <v>221</v>
      </c>
      <c r="N20" s="5" t="s">
        <v>222</v>
      </c>
      <c r="O20" s="5" t="s">
        <v>99</v>
      </c>
      <c r="P20" s="5" t="s">
        <v>99</v>
      </c>
    </row>
    <row r="21" spans="1:16" s="5" customFormat="1" x14ac:dyDescent="0.25">
      <c r="A21" s="5" t="s">
        <v>223</v>
      </c>
      <c r="B21" s="5" t="s">
        <v>25</v>
      </c>
      <c r="C21" s="5" t="s">
        <v>224</v>
      </c>
      <c r="D21" s="5" t="s">
        <v>225</v>
      </c>
      <c r="E21" s="5" t="s">
        <v>226</v>
      </c>
      <c r="F21" s="6" t="s">
        <v>10</v>
      </c>
      <c r="G21" s="5" t="s">
        <v>227</v>
      </c>
      <c r="H21" s="5" t="s">
        <v>228</v>
      </c>
      <c r="I21" s="5">
        <v>3</v>
      </c>
      <c r="J21" s="5" t="s">
        <v>124</v>
      </c>
      <c r="K21" s="5" t="s">
        <v>99</v>
      </c>
      <c r="L21" s="5">
        <v>50</v>
      </c>
      <c r="M21" s="5" t="s">
        <v>229</v>
      </c>
      <c r="N21" s="5" t="s">
        <v>230</v>
      </c>
      <c r="O21" s="5" t="s">
        <v>99</v>
      </c>
      <c r="P21" s="5" t="s">
        <v>99</v>
      </c>
    </row>
    <row r="22" spans="1:16" s="5" customFormat="1" x14ac:dyDescent="0.25">
      <c r="A22" s="5" t="s">
        <v>231</v>
      </c>
      <c r="B22" s="5" t="s">
        <v>25</v>
      </c>
      <c r="C22" s="5" t="s">
        <v>232</v>
      </c>
      <c r="D22" s="5" t="s">
        <v>233</v>
      </c>
      <c r="E22" s="5" t="s">
        <v>234</v>
      </c>
      <c r="F22" s="8" t="s">
        <v>9</v>
      </c>
      <c r="G22" s="5" t="s">
        <v>235</v>
      </c>
      <c r="H22" s="5" t="s">
        <v>99</v>
      </c>
      <c r="I22" s="9">
        <v>4</v>
      </c>
      <c r="J22" s="5" t="s">
        <v>103</v>
      </c>
      <c r="K22" s="5" t="s">
        <v>99</v>
      </c>
      <c r="L22" s="5">
        <v>95</v>
      </c>
      <c r="M22" s="5" t="s">
        <v>110</v>
      </c>
      <c r="N22" s="5" t="s">
        <v>236</v>
      </c>
      <c r="O22" s="5" t="s">
        <v>99</v>
      </c>
      <c r="P22" s="5" t="s">
        <v>99</v>
      </c>
    </row>
    <row r="23" spans="1:16" s="5" customFormat="1" x14ac:dyDescent="0.25">
      <c r="A23" s="5" t="s">
        <v>237</v>
      </c>
      <c r="B23" s="5" t="s">
        <v>25</v>
      </c>
      <c r="C23" s="5" t="s">
        <v>238</v>
      </c>
      <c r="D23" s="5" t="s">
        <v>239</v>
      </c>
      <c r="E23" s="5" t="s">
        <v>240</v>
      </c>
      <c r="F23" s="8" t="s">
        <v>9</v>
      </c>
      <c r="G23" s="5" t="s">
        <v>241</v>
      </c>
      <c r="H23" s="5" t="s">
        <v>99</v>
      </c>
      <c r="I23" s="9">
        <v>4</v>
      </c>
      <c r="J23" s="5" t="s">
        <v>103</v>
      </c>
      <c r="K23" s="5" t="s">
        <v>99</v>
      </c>
      <c r="L23" s="5">
        <v>95</v>
      </c>
      <c r="M23" s="5" t="s">
        <v>110</v>
      </c>
      <c r="N23" s="5" t="s">
        <v>242</v>
      </c>
      <c r="O23" s="5" t="s">
        <v>99</v>
      </c>
      <c r="P23" s="5" t="s">
        <v>99</v>
      </c>
    </row>
    <row r="24" spans="1:16" s="5" customFormat="1" x14ac:dyDescent="0.25">
      <c r="A24" s="5" t="s">
        <v>243</v>
      </c>
      <c r="B24" s="5" t="s">
        <v>26</v>
      </c>
      <c r="C24" s="5" t="s">
        <v>27</v>
      </c>
      <c r="D24" s="5" t="s">
        <v>244</v>
      </c>
      <c r="E24" s="5" t="s">
        <v>245</v>
      </c>
      <c r="F24" s="8" t="s">
        <v>9</v>
      </c>
      <c r="G24" s="5" t="s">
        <v>246</v>
      </c>
      <c r="H24" s="5" t="s">
        <v>99</v>
      </c>
      <c r="I24" s="7">
        <v>5</v>
      </c>
      <c r="J24" s="5" t="s">
        <v>103</v>
      </c>
      <c r="K24" s="5" t="s">
        <v>99</v>
      </c>
      <c r="L24" s="5">
        <v>85</v>
      </c>
      <c r="M24" s="5" t="s">
        <v>110</v>
      </c>
      <c r="N24" s="5" t="s">
        <v>247</v>
      </c>
      <c r="O24" s="5" t="s">
        <v>99</v>
      </c>
      <c r="P24" s="5" t="s">
        <v>99</v>
      </c>
    </row>
    <row r="25" spans="1:16" s="5" customFormat="1" x14ac:dyDescent="0.25">
      <c r="A25" s="5" t="s">
        <v>248</v>
      </c>
      <c r="B25" s="5" t="s">
        <v>26</v>
      </c>
      <c r="C25" s="5" t="s">
        <v>27</v>
      </c>
      <c r="D25" s="5" t="s">
        <v>249</v>
      </c>
      <c r="E25" s="5" t="s">
        <v>250</v>
      </c>
      <c r="F25" s="8" t="s">
        <v>9</v>
      </c>
      <c r="G25" s="5" t="s">
        <v>251</v>
      </c>
      <c r="H25" s="5" t="s">
        <v>99</v>
      </c>
      <c r="I25" s="9">
        <v>4</v>
      </c>
      <c r="J25" s="5" t="s">
        <v>103</v>
      </c>
      <c r="K25" s="5" t="s">
        <v>243</v>
      </c>
      <c r="L25" s="5">
        <v>80</v>
      </c>
      <c r="M25" s="5" t="s">
        <v>110</v>
      </c>
      <c r="N25" s="5" t="s">
        <v>247</v>
      </c>
      <c r="O25" s="5" t="s">
        <v>99</v>
      </c>
      <c r="P25" s="5" t="s">
        <v>99</v>
      </c>
    </row>
    <row r="26" spans="1:16" s="5" customFormat="1" x14ac:dyDescent="0.25">
      <c r="A26" s="5" t="s">
        <v>252</v>
      </c>
      <c r="B26" s="5" t="s">
        <v>26</v>
      </c>
      <c r="C26" s="5" t="s">
        <v>27</v>
      </c>
      <c r="D26" s="5" t="s">
        <v>253</v>
      </c>
      <c r="E26" s="5" t="s">
        <v>254</v>
      </c>
      <c r="F26" s="6" t="s">
        <v>10</v>
      </c>
      <c r="G26" s="5" t="s">
        <v>255</v>
      </c>
      <c r="H26" s="5" t="s">
        <v>256</v>
      </c>
      <c r="I26" s="9">
        <v>4</v>
      </c>
      <c r="J26" s="5" t="s">
        <v>124</v>
      </c>
      <c r="K26" s="5" t="s">
        <v>243</v>
      </c>
      <c r="L26" s="5">
        <v>40</v>
      </c>
      <c r="M26" s="5" t="s">
        <v>257</v>
      </c>
      <c r="N26" s="5" t="s">
        <v>258</v>
      </c>
      <c r="O26" s="5" t="s">
        <v>99</v>
      </c>
      <c r="P26" s="5" t="s">
        <v>99</v>
      </c>
    </row>
    <row r="27" spans="1:16" s="5" customFormat="1" x14ac:dyDescent="0.25">
      <c r="A27" s="5" t="s">
        <v>259</v>
      </c>
      <c r="B27" s="5" t="s">
        <v>26</v>
      </c>
      <c r="C27" s="5" t="s">
        <v>27</v>
      </c>
      <c r="D27" s="5" t="s">
        <v>260</v>
      </c>
      <c r="E27" s="5" t="s">
        <v>261</v>
      </c>
      <c r="F27" s="8" t="s">
        <v>9</v>
      </c>
      <c r="G27" s="5" t="s">
        <v>262</v>
      </c>
      <c r="H27" s="5" t="s">
        <v>99</v>
      </c>
      <c r="I27" s="7">
        <v>5</v>
      </c>
      <c r="J27" s="5" t="s">
        <v>103</v>
      </c>
      <c r="K27" s="5" t="s">
        <v>99</v>
      </c>
      <c r="L27" s="5">
        <v>85</v>
      </c>
      <c r="M27" s="5" t="s">
        <v>110</v>
      </c>
      <c r="N27" s="5" t="s">
        <v>263</v>
      </c>
      <c r="O27" s="5" t="s">
        <v>99</v>
      </c>
      <c r="P27" s="5" t="s">
        <v>99</v>
      </c>
    </row>
    <row r="28" spans="1:16" s="5" customFormat="1" x14ac:dyDescent="0.25">
      <c r="A28" s="5" t="s">
        <v>264</v>
      </c>
      <c r="B28" s="5" t="s">
        <v>26</v>
      </c>
      <c r="C28" s="5" t="s">
        <v>27</v>
      </c>
      <c r="D28" s="5" t="s">
        <v>265</v>
      </c>
      <c r="E28" s="5" t="s">
        <v>266</v>
      </c>
      <c r="F28" s="6" t="s">
        <v>10</v>
      </c>
      <c r="G28" s="5" t="s">
        <v>267</v>
      </c>
      <c r="H28" s="5" t="s">
        <v>268</v>
      </c>
      <c r="I28" s="5">
        <v>3</v>
      </c>
      <c r="J28" s="5" t="s">
        <v>124</v>
      </c>
      <c r="K28" s="5" t="s">
        <v>259</v>
      </c>
      <c r="L28" s="5">
        <v>65</v>
      </c>
      <c r="M28" s="5" t="s">
        <v>269</v>
      </c>
      <c r="N28" s="5" t="s">
        <v>270</v>
      </c>
      <c r="O28" s="5" t="s">
        <v>99</v>
      </c>
      <c r="P28" s="5" t="s">
        <v>99</v>
      </c>
    </row>
    <row r="29" spans="1:16" s="5" customFormat="1" x14ac:dyDescent="0.25">
      <c r="A29" s="5" t="s">
        <v>271</v>
      </c>
      <c r="B29" s="5" t="s">
        <v>26</v>
      </c>
      <c r="C29" s="5" t="s">
        <v>27</v>
      </c>
      <c r="D29" s="5" t="s">
        <v>272</v>
      </c>
      <c r="E29" s="5" t="s">
        <v>273</v>
      </c>
      <c r="F29" s="8" t="s">
        <v>9</v>
      </c>
      <c r="G29" s="5" t="s">
        <v>274</v>
      </c>
      <c r="H29" s="5" t="s">
        <v>99</v>
      </c>
      <c r="I29" s="5">
        <v>3</v>
      </c>
      <c r="J29" s="5" t="s">
        <v>103</v>
      </c>
      <c r="K29" s="5" t="s">
        <v>99</v>
      </c>
      <c r="L29" s="5">
        <v>90</v>
      </c>
      <c r="M29" s="5" t="s">
        <v>110</v>
      </c>
      <c r="N29" s="5" t="s">
        <v>275</v>
      </c>
      <c r="O29" s="5" t="s">
        <v>99</v>
      </c>
      <c r="P29" s="5" t="s">
        <v>99</v>
      </c>
    </row>
    <row r="30" spans="1:16" s="5" customFormat="1" x14ac:dyDescent="0.25">
      <c r="A30" s="5" t="s">
        <v>276</v>
      </c>
      <c r="B30" s="5" t="s">
        <v>26</v>
      </c>
      <c r="C30" s="5" t="s">
        <v>27</v>
      </c>
      <c r="D30" s="5" t="s">
        <v>277</v>
      </c>
      <c r="E30" s="5" t="s">
        <v>278</v>
      </c>
      <c r="F30" s="6" t="s">
        <v>10</v>
      </c>
      <c r="G30" s="5" t="s">
        <v>279</v>
      </c>
      <c r="H30" s="5" t="s">
        <v>280</v>
      </c>
      <c r="I30" s="5">
        <v>2</v>
      </c>
      <c r="J30" s="5" t="s">
        <v>103</v>
      </c>
      <c r="K30" s="5" t="s">
        <v>243</v>
      </c>
      <c r="L30" s="5">
        <v>110</v>
      </c>
      <c r="M30" s="5" t="s">
        <v>281</v>
      </c>
      <c r="N30" s="5" t="s">
        <v>282</v>
      </c>
      <c r="O30" s="5" t="s">
        <v>99</v>
      </c>
      <c r="P30" s="5" t="s">
        <v>99</v>
      </c>
    </row>
    <row r="31" spans="1:16" s="5" customFormat="1" x14ac:dyDescent="0.25">
      <c r="A31" s="5" t="s">
        <v>283</v>
      </c>
      <c r="B31" s="5" t="s">
        <v>26</v>
      </c>
      <c r="C31" s="5" t="s">
        <v>27</v>
      </c>
      <c r="D31" s="5" t="s">
        <v>284</v>
      </c>
      <c r="E31" s="5" t="s">
        <v>285</v>
      </c>
      <c r="F31" s="6" t="s">
        <v>10</v>
      </c>
      <c r="G31" s="5" t="s">
        <v>286</v>
      </c>
      <c r="H31" s="5" t="s">
        <v>287</v>
      </c>
      <c r="I31" s="5">
        <v>2</v>
      </c>
      <c r="J31" s="5" t="s">
        <v>103</v>
      </c>
      <c r="K31" s="5" t="s">
        <v>99</v>
      </c>
      <c r="L31" s="5">
        <v>120</v>
      </c>
      <c r="M31" s="5" t="s">
        <v>288</v>
      </c>
      <c r="N31" s="5" t="s">
        <v>289</v>
      </c>
      <c r="O31" s="5" t="s">
        <v>99</v>
      </c>
      <c r="P31" s="5" t="s">
        <v>99</v>
      </c>
    </row>
    <row r="32" spans="1:16" s="5" customFormat="1" x14ac:dyDescent="0.25">
      <c r="A32" s="5" t="s">
        <v>290</v>
      </c>
      <c r="B32" s="5" t="s">
        <v>26</v>
      </c>
      <c r="C32" s="5" t="s">
        <v>27</v>
      </c>
      <c r="D32" s="5" t="s">
        <v>291</v>
      </c>
      <c r="E32" s="5" t="s">
        <v>292</v>
      </c>
      <c r="F32" s="10" t="s">
        <v>12</v>
      </c>
      <c r="G32" s="5" t="s">
        <v>293</v>
      </c>
      <c r="H32" s="5" t="s">
        <v>99</v>
      </c>
      <c r="I32" s="5">
        <v>2</v>
      </c>
      <c r="J32" s="5" t="s">
        <v>103</v>
      </c>
      <c r="K32" s="5" t="s">
        <v>294</v>
      </c>
      <c r="L32" s="5">
        <v>130</v>
      </c>
      <c r="M32" s="5" t="s">
        <v>295</v>
      </c>
      <c r="N32" s="5" t="s">
        <v>296</v>
      </c>
      <c r="O32" s="5" t="s">
        <v>99</v>
      </c>
      <c r="P32" s="5" t="s">
        <v>99</v>
      </c>
    </row>
    <row r="33" spans="1:16" s="5" customFormat="1" x14ac:dyDescent="0.25">
      <c r="A33" s="5" t="s">
        <v>297</v>
      </c>
      <c r="B33" s="5" t="s">
        <v>26</v>
      </c>
      <c r="C33" s="5" t="s">
        <v>298</v>
      </c>
      <c r="D33" s="5" t="s">
        <v>299</v>
      </c>
      <c r="E33" s="5" t="s">
        <v>300</v>
      </c>
      <c r="F33" s="8" t="s">
        <v>9</v>
      </c>
      <c r="G33" s="5" t="s">
        <v>301</v>
      </c>
      <c r="H33" s="5" t="s">
        <v>99</v>
      </c>
      <c r="I33" s="7">
        <v>5</v>
      </c>
      <c r="J33" s="5" t="s">
        <v>103</v>
      </c>
      <c r="K33" s="5" t="s">
        <v>99</v>
      </c>
      <c r="L33" s="5">
        <v>85</v>
      </c>
      <c r="M33" s="5" t="s">
        <v>110</v>
      </c>
      <c r="N33" s="5" t="s">
        <v>302</v>
      </c>
      <c r="O33" s="5" t="s">
        <v>99</v>
      </c>
      <c r="P33" s="5" t="s">
        <v>99</v>
      </c>
    </row>
    <row r="34" spans="1:16" s="5" customFormat="1" x14ac:dyDescent="0.25">
      <c r="A34" s="5" t="s">
        <v>303</v>
      </c>
      <c r="B34" s="5" t="s">
        <v>26</v>
      </c>
      <c r="C34" s="5" t="s">
        <v>298</v>
      </c>
      <c r="D34" s="5" t="s">
        <v>304</v>
      </c>
      <c r="E34" s="5" t="s">
        <v>305</v>
      </c>
      <c r="F34" s="6" t="s">
        <v>10</v>
      </c>
      <c r="G34" s="5" t="s">
        <v>306</v>
      </c>
      <c r="H34" s="5" t="s">
        <v>307</v>
      </c>
      <c r="I34" s="5">
        <v>3</v>
      </c>
      <c r="J34" s="5" t="s">
        <v>124</v>
      </c>
      <c r="K34" s="5" t="s">
        <v>297</v>
      </c>
      <c r="L34" s="5">
        <v>70</v>
      </c>
      <c r="M34" s="5" t="s">
        <v>308</v>
      </c>
      <c r="N34" s="5" t="s">
        <v>309</v>
      </c>
      <c r="O34" s="5" t="s">
        <v>99</v>
      </c>
      <c r="P34" s="5" t="s">
        <v>99</v>
      </c>
    </row>
    <row r="35" spans="1:16" s="5" customFormat="1" x14ac:dyDescent="0.25">
      <c r="A35" s="5" t="s">
        <v>310</v>
      </c>
      <c r="B35" s="5" t="s">
        <v>26</v>
      </c>
      <c r="C35" s="5" t="s">
        <v>298</v>
      </c>
      <c r="D35" s="5" t="s">
        <v>311</v>
      </c>
      <c r="E35" s="5" t="s">
        <v>312</v>
      </c>
      <c r="F35" s="6" t="s">
        <v>10</v>
      </c>
      <c r="G35" s="5" t="s">
        <v>313</v>
      </c>
      <c r="H35" s="5" t="s">
        <v>314</v>
      </c>
      <c r="I35" s="5">
        <v>3</v>
      </c>
      <c r="J35" s="5" t="s">
        <v>124</v>
      </c>
      <c r="K35" s="5" t="s">
        <v>315</v>
      </c>
      <c r="L35" s="5">
        <v>75</v>
      </c>
      <c r="M35" s="5" t="s">
        <v>316</v>
      </c>
      <c r="N35" s="5" t="s">
        <v>317</v>
      </c>
      <c r="O35" s="5" t="s">
        <v>99</v>
      </c>
      <c r="P35" s="5" t="s">
        <v>99</v>
      </c>
    </row>
    <row r="36" spans="1:16" s="5" customFormat="1" x14ac:dyDescent="0.25">
      <c r="A36" s="5" t="s">
        <v>318</v>
      </c>
      <c r="B36" s="5" t="s">
        <v>26</v>
      </c>
      <c r="C36" s="5" t="s">
        <v>319</v>
      </c>
      <c r="D36" s="5" t="s">
        <v>320</v>
      </c>
      <c r="E36" s="5" t="s">
        <v>321</v>
      </c>
      <c r="F36" s="8" t="s">
        <v>9</v>
      </c>
      <c r="G36" s="5" t="s">
        <v>322</v>
      </c>
      <c r="H36" s="5" t="s">
        <v>99</v>
      </c>
      <c r="I36" s="5">
        <v>2</v>
      </c>
      <c r="J36" s="5" t="s">
        <v>103</v>
      </c>
      <c r="K36" s="5" t="s">
        <v>99</v>
      </c>
      <c r="L36" s="5">
        <v>100</v>
      </c>
      <c r="M36" s="5" t="s">
        <v>110</v>
      </c>
      <c r="N36" s="5" t="s">
        <v>323</v>
      </c>
      <c r="O36" s="5" t="s">
        <v>99</v>
      </c>
      <c r="P36" s="5" t="s">
        <v>99</v>
      </c>
    </row>
    <row r="37" spans="1:16" s="5" customFormat="1" x14ac:dyDescent="0.25">
      <c r="A37" s="5" t="s">
        <v>324</v>
      </c>
      <c r="B37" s="5" t="s">
        <v>26</v>
      </c>
      <c r="C37" s="5" t="s">
        <v>325</v>
      </c>
      <c r="D37" s="5" t="s">
        <v>326</v>
      </c>
      <c r="E37" s="5" t="s">
        <v>327</v>
      </c>
      <c r="F37" s="8" t="s">
        <v>9</v>
      </c>
      <c r="G37" s="5" t="s">
        <v>328</v>
      </c>
      <c r="H37" s="5" t="s">
        <v>99</v>
      </c>
      <c r="I37" s="9">
        <v>4</v>
      </c>
      <c r="J37" s="5" t="s">
        <v>124</v>
      </c>
      <c r="K37" s="5" t="s">
        <v>329</v>
      </c>
      <c r="L37" s="5">
        <v>35</v>
      </c>
      <c r="M37" s="5" t="s">
        <v>330</v>
      </c>
      <c r="N37" s="5" t="s">
        <v>331</v>
      </c>
      <c r="O37" s="5" t="s">
        <v>99</v>
      </c>
      <c r="P37" s="5" t="s">
        <v>99</v>
      </c>
    </row>
    <row r="38" spans="1:16" s="5" customFormat="1" x14ac:dyDescent="0.25">
      <c r="A38" s="5" t="s">
        <v>332</v>
      </c>
      <c r="B38" s="5" t="s">
        <v>26</v>
      </c>
      <c r="C38" s="5" t="s">
        <v>333</v>
      </c>
      <c r="D38" s="5" t="s">
        <v>334</v>
      </c>
      <c r="E38" s="5" t="s">
        <v>335</v>
      </c>
      <c r="F38" s="10" t="s">
        <v>12</v>
      </c>
      <c r="G38" s="5" t="s">
        <v>336</v>
      </c>
      <c r="H38" s="5" t="s">
        <v>337</v>
      </c>
      <c r="I38" s="5">
        <v>3</v>
      </c>
      <c r="J38" s="5" t="s">
        <v>124</v>
      </c>
      <c r="K38" s="5" t="s">
        <v>324</v>
      </c>
      <c r="L38" s="5">
        <v>85</v>
      </c>
      <c r="M38" s="5" t="s">
        <v>338</v>
      </c>
      <c r="N38" s="5" t="s">
        <v>339</v>
      </c>
      <c r="O38" s="5" t="s">
        <v>99</v>
      </c>
      <c r="P38" s="5" t="s">
        <v>99</v>
      </c>
    </row>
    <row r="39" spans="1:16" s="5" customFormat="1" x14ac:dyDescent="0.25">
      <c r="A39" s="5" t="s">
        <v>329</v>
      </c>
      <c r="B39" s="5" t="s">
        <v>27</v>
      </c>
      <c r="C39" s="5" t="s">
        <v>340</v>
      </c>
      <c r="D39" s="5" t="s">
        <v>341</v>
      </c>
      <c r="E39" s="5" t="s">
        <v>342</v>
      </c>
      <c r="F39" s="8" t="s">
        <v>9</v>
      </c>
      <c r="G39" s="5" t="s">
        <v>343</v>
      </c>
      <c r="H39" s="5" t="s">
        <v>99</v>
      </c>
      <c r="I39" s="7">
        <v>5</v>
      </c>
      <c r="J39" s="5" t="s">
        <v>103</v>
      </c>
      <c r="K39" s="5" t="s">
        <v>99</v>
      </c>
      <c r="L39" s="5">
        <v>10</v>
      </c>
      <c r="M39" s="5" t="s">
        <v>344</v>
      </c>
      <c r="N39" s="5" t="s">
        <v>263</v>
      </c>
      <c r="O39" s="5" t="s">
        <v>99</v>
      </c>
      <c r="P39" s="5" t="s">
        <v>99</v>
      </c>
    </row>
    <row r="40" spans="1:16" s="5" customFormat="1" x14ac:dyDescent="0.25">
      <c r="A40" s="5" t="s">
        <v>345</v>
      </c>
      <c r="B40" s="5" t="s">
        <v>27</v>
      </c>
      <c r="C40" s="5" t="s">
        <v>346</v>
      </c>
      <c r="D40" s="5" t="s">
        <v>347</v>
      </c>
      <c r="E40" s="5" t="s">
        <v>348</v>
      </c>
      <c r="F40" s="8" t="s">
        <v>9</v>
      </c>
      <c r="G40" s="5" t="s">
        <v>349</v>
      </c>
      <c r="H40" s="5" t="s">
        <v>99</v>
      </c>
      <c r="I40" s="7">
        <v>5</v>
      </c>
      <c r="J40" s="5" t="s">
        <v>103</v>
      </c>
      <c r="K40" s="5" t="s">
        <v>329</v>
      </c>
      <c r="L40" s="5">
        <v>30</v>
      </c>
      <c r="M40" s="5" t="s">
        <v>110</v>
      </c>
      <c r="N40" s="5" t="s">
        <v>99</v>
      </c>
      <c r="O40" s="5" t="s">
        <v>99</v>
      </c>
      <c r="P40" s="5" t="s">
        <v>99</v>
      </c>
    </row>
    <row r="41" spans="1:16" s="5" customFormat="1" x14ac:dyDescent="0.25">
      <c r="A41" s="5" t="s">
        <v>350</v>
      </c>
      <c r="B41" s="5" t="s">
        <v>27</v>
      </c>
      <c r="C41" s="5" t="s">
        <v>351</v>
      </c>
      <c r="D41" s="5" t="s">
        <v>352</v>
      </c>
      <c r="E41" s="5" t="s">
        <v>353</v>
      </c>
      <c r="F41" s="8" t="s">
        <v>9</v>
      </c>
      <c r="G41" s="5" t="s">
        <v>354</v>
      </c>
      <c r="H41" s="5" t="s">
        <v>99</v>
      </c>
      <c r="I41" s="7">
        <v>5</v>
      </c>
      <c r="J41" s="5" t="s">
        <v>124</v>
      </c>
      <c r="K41" s="5" t="s">
        <v>329</v>
      </c>
      <c r="L41" s="5">
        <v>30</v>
      </c>
      <c r="M41" s="5" t="s">
        <v>355</v>
      </c>
      <c r="N41" s="5" t="s">
        <v>356</v>
      </c>
      <c r="O41" s="5" t="s">
        <v>99</v>
      </c>
      <c r="P41" s="5" t="s">
        <v>99</v>
      </c>
    </row>
    <row r="42" spans="1:16" s="5" customFormat="1" x14ac:dyDescent="0.25">
      <c r="A42" s="5" t="s">
        <v>42</v>
      </c>
      <c r="B42" s="5" t="s">
        <v>27</v>
      </c>
      <c r="C42" s="5" t="s">
        <v>357</v>
      </c>
      <c r="D42" s="5" t="s">
        <v>43</v>
      </c>
      <c r="E42" s="5" t="s">
        <v>358</v>
      </c>
      <c r="F42" s="10" t="s">
        <v>12</v>
      </c>
      <c r="G42" s="5" t="s">
        <v>359</v>
      </c>
      <c r="H42" s="5" t="s">
        <v>360</v>
      </c>
      <c r="I42" s="7">
        <v>5</v>
      </c>
      <c r="J42" s="5" t="s">
        <v>139</v>
      </c>
      <c r="K42" s="5" t="s">
        <v>361</v>
      </c>
      <c r="L42" s="5">
        <v>2</v>
      </c>
      <c r="M42" s="5" t="s">
        <v>362</v>
      </c>
      <c r="N42" s="5" t="s">
        <v>363</v>
      </c>
      <c r="O42" s="5" t="s">
        <v>99</v>
      </c>
      <c r="P42" s="5" t="s">
        <v>99</v>
      </c>
    </row>
    <row r="43" spans="1:16" s="5" customFormat="1" x14ac:dyDescent="0.25">
      <c r="A43" s="5" t="s">
        <v>364</v>
      </c>
      <c r="B43" s="5" t="s">
        <v>27</v>
      </c>
      <c r="C43" s="5" t="s">
        <v>365</v>
      </c>
      <c r="D43" s="5" t="s">
        <v>366</v>
      </c>
      <c r="E43" s="5" t="s">
        <v>367</v>
      </c>
      <c r="F43" s="8" t="s">
        <v>9</v>
      </c>
      <c r="G43" s="5" t="s">
        <v>368</v>
      </c>
      <c r="H43" s="5" t="s">
        <v>99</v>
      </c>
      <c r="I43" s="7">
        <v>5</v>
      </c>
      <c r="J43" s="5" t="s">
        <v>103</v>
      </c>
      <c r="K43" s="5" t="s">
        <v>160</v>
      </c>
      <c r="L43" s="5">
        <v>70</v>
      </c>
      <c r="M43" s="5" t="s">
        <v>110</v>
      </c>
      <c r="N43" s="5" t="s">
        <v>369</v>
      </c>
      <c r="O43" s="5" t="s">
        <v>99</v>
      </c>
      <c r="P43" s="5" t="s">
        <v>99</v>
      </c>
    </row>
    <row r="44" spans="1:16" s="5" customFormat="1" x14ac:dyDescent="0.25">
      <c r="A44" s="5" t="s">
        <v>370</v>
      </c>
      <c r="B44" s="5" t="s">
        <v>27</v>
      </c>
      <c r="C44" s="5" t="s">
        <v>371</v>
      </c>
      <c r="D44" s="5" t="s">
        <v>372</v>
      </c>
      <c r="E44" s="5" t="s">
        <v>373</v>
      </c>
      <c r="F44" s="8" t="s">
        <v>9</v>
      </c>
      <c r="G44" s="5" t="s">
        <v>374</v>
      </c>
      <c r="H44" s="5" t="s">
        <v>99</v>
      </c>
      <c r="I44" s="9">
        <v>4</v>
      </c>
      <c r="J44" s="5" t="s">
        <v>103</v>
      </c>
      <c r="K44" s="5" t="s">
        <v>329</v>
      </c>
      <c r="L44" s="5">
        <v>40</v>
      </c>
      <c r="M44" s="5" t="s">
        <v>375</v>
      </c>
      <c r="N44" s="5" t="s">
        <v>376</v>
      </c>
      <c r="O44" s="5" t="s">
        <v>99</v>
      </c>
      <c r="P44" s="5" t="s">
        <v>99</v>
      </c>
    </row>
    <row r="45" spans="1:16" s="5" customFormat="1" x14ac:dyDescent="0.25">
      <c r="A45" s="5" t="s">
        <v>377</v>
      </c>
      <c r="B45" s="5" t="s">
        <v>27</v>
      </c>
      <c r="C45" s="5" t="s">
        <v>378</v>
      </c>
      <c r="D45" s="5" t="s">
        <v>379</v>
      </c>
      <c r="E45" s="5" t="s">
        <v>380</v>
      </c>
      <c r="F45" s="6" t="s">
        <v>10</v>
      </c>
      <c r="G45" s="5" t="s">
        <v>381</v>
      </c>
      <c r="H45" s="5" t="s">
        <v>382</v>
      </c>
      <c r="I45" s="9">
        <v>4</v>
      </c>
      <c r="J45" s="5" t="s">
        <v>124</v>
      </c>
      <c r="K45" s="5" t="s">
        <v>370</v>
      </c>
      <c r="L45" s="5">
        <v>18</v>
      </c>
      <c r="M45" s="5" t="s">
        <v>383</v>
      </c>
      <c r="N45" s="5" t="s">
        <v>384</v>
      </c>
      <c r="O45" s="5" t="s">
        <v>99</v>
      </c>
      <c r="P45" s="5" t="s">
        <v>99</v>
      </c>
    </row>
    <row r="46" spans="1:16" s="5" customFormat="1" x14ac:dyDescent="0.25">
      <c r="A46" s="5" t="s">
        <v>385</v>
      </c>
      <c r="B46" s="5" t="s">
        <v>27</v>
      </c>
      <c r="C46" s="5" t="s">
        <v>386</v>
      </c>
      <c r="D46" s="5" t="s">
        <v>387</v>
      </c>
      <c r="E46" s="5" t="s">
        <v>388</v>
      </c>
      <c r="F46" s="6" t="s">
        <v>10</v>
      </c>
      <c r="G46" s="5" t="s">
        <v>389</v>
      </c>
      <c r="H46" s="5" t="s">
        <v>390</v>
      </c>
      <c r="I46" s="9">
        <v>4</v>
      </c>
      <c r="J46" s="5" t="s">
        <v>124</v>
      </c>
      <c r="K46" s="5" t="s">
        <v>329</v>
      </c>
      <c r="L46" s="5">
        <v>12</v>
      </c>
      <c r="M46" s="5" t="s">
        <v>391</v>
      </c>
      <c r="N46" s="5" t="s">
        <v>392</v>
      </c>
      <c r="O46" s="5" t="s">
        <v>99</v>
      </c>
      <c r="P46" s="5" t="s">
        <v>99</v>
      </c>
    </row>
    <row r="47" spans="1:16" s="5" customFormat="1" x14ac:dyDescent="0.25">
      <c r="A47" s="5" t="s">
        <v>393</v>
      </c>
      <c r="B47" s="5" t="s">
        <v>27</v>
      </c>
      <c r="C47" s="5" t="s">
        <v>394</v>
      </c>
      <c r="D47" s="5" t="s">
        <v>395</v>
      </c>
      <c r="E47" s="5" t="s">
        <v>396</v>
      </c>
      <c r="F47" s="6" t="s">
        <v>10</v>
      </c>
      <c r="G47" s="5" t="s">
        <v>397</v>
      </c>
      <c r="H47" s="5" t="s">
        <v>398</v>
      </c>
      <c r="I47" s="5">
        <v>2</v>
      </c>
      <c r="J47" s="5" t="s">
        <v>103</v>
      </c>
      <c r="K47" s="5" t="s">
        <v>329</v>
      </c>
      <c r="L47" s="5">
        <v>115</v>
      </c>
      <c r="M47" s="5" t="s">
        <v>399</v>
      </c>
      <c r="N47" s="5" t="s">
        <v>400</v>
      </c>
      <c r="O47" s="5" t="s">
        <v>99</v>
      </c>
      <c r="P47" s="5" t="s">
        <v>99</v>
      </c>
    </row>
    <row r="48" spans="1:16" s="5" customFormat="1" x14ac:dyDescent="0.25">
      <c r="A48" s="5" t="s">
        <v>401</v>
      </c>
      <c r="B48" s="5" t="s">
        <v>27</v>
      </c>
      <c r="C48" s="5" t="s">
        <v>402</v>
      </c>
      <c r="D48" s="5" t="s">
        <v>403</v>
      </c>
      <c r="E48" s="5" t="s">
        <v>404</v>
      </c>
      <c r="F48" s="8" t="s">
        <v>9</v>
      </c>
      <c r="G48" s="5" t="s">
        <v>405</v>
      </c>
      <c r="H48" s="5" t="s">
        <v>99</v>
      </c>
      <c r="I48" s="9">
        <v>4</v>
      </c>
      <c r="J48" s="5" t="s">
        <v>103</v>
      </c>
      <c r="K48" s="5" t="s">
        <v>406</v>
      </c>
      <c r="L48" s="5">
        <v>50</v>
      </c>
      <c r="M48" s="5" t="s">
        <v>110</v>
      </c>
      <c r="N48" s="5" t="s">
        <v>159</v>
      </c>
      <c r="O48" s="5" t="s">
        <v>99</v>
      </c>
      <c r="P48" s="5" t="s">
        <v>99</v>
      </c>
    </row>
    <row r="49" spans="1:16" s="5" customFormat="1" x14ac:dyDescent="0.25">
      <c r="A49" s="5" t="s">
        <v>407</v>
      </c>
      <c r="B49" s="5" t="s">
        <v>27</v>
      </c>
      <c r="C49" s="5" t="s">
        <v>408</v>
      </c>
      <c r="D49" s="5" t="s">
        <v>409</v>
      </c>
      <c r="E49" s="5" t="s">
        <v>410</v>
      </c>
      <c r="F49" s="10" t="s">
        <v>12</v>
      </c>
      <c r="G49" s="5" t="s">
        <v>411</v>
      </c>
      <c r="H49" s="5" t="s">
        <v>412</v>
      </c>
      <c r="I49" s="5">
        <v>3</v>
      </c>
      <c r="J49" s="5" t="s">
        <v>139</v>
      </c>
      <c r="K49" s="5" t="s">
        <v>413</v>
      </c>
      <c r="L49" s="5">
        <v>95</v>
      </c>
      <c r="M49" s="5" t="s">
        <v>414</v>
      </c>
      <c r="N49" s="5" t="s">
        <v>415</v>
      </c>
      <c r="O49" s="5" t="s">
        <v>99</v>
      </c>
      <c r="P49" s="5" t="s">
        <v>99</v>
      </c>
    </row>
    <row r="50" spans="1:16" s="5" customFormat="1" x14ac:dyDescent="0.25">
      <c r="A50" s="5" t="s">
        <v>416</v>
      </c>
      <c r="B50" s="5" t="s">
        <v>27</v>
      </c>
      <c r="C50" s="5" t="s">
        <v>417</v>
      </c>
      <c r="D50" s="5" t="s">
        <v>418</v>
      </c>
      <c r="E50" s="5" t="s">
        <v>419</v>
      </c>
      <c r="F50" s="6" t="s">
        <v>10</v>
      </c>
      <c r="G50" s="5" t="s">
        <v>420</v>
      </c>
      <c r="H50" s="5" t="s">
        <v>421</v>
      </c>
      <c r="I50" s="5">
        <v>2</v>
      </c>
      <c r="J50" s="5" t="s">
        <v>103</v>
      </c>
      <c r="K50" s="5" t="s">
        <v>370</v>
      </c>
      <c r="L50" s="5">
        <v>105</v>
      </c>
      <c r="M50" s="5" t="s">
        <v>422</v>
      </c>
      <c r="N50" s="5" t="s">
        <v>423</v>
      </c>
      <c r="O50" s="5" t="s">
        <v>99</v>
      </c>
      <c r="P50" s="5" t="s">
        <v>99</v>
      </c>
    </row>
    <row r="51" spans="1:16" s="5" customFormat="1" x14ac:dyDescent="0.25">
      <c r="A51" s="5" t="s">
        <v>424</v>
      </c>
      <c r="B51" s="5" t="s">
        <v>28</v>
      </c>
      <c r="C51" s="5" t="s">
        <v>425</v>
      </c>
      <c r="D51" s="5" t="s">
        <v>426</v>
      </c>
      <c r="E51" s="5" t="s">
        <v>427</v>
      </c>
      <c r="F51" s="8" t="s">
        <v>9</v>
      </c>
      <c r="G51" s="5" t="s">
        <v>428</v>
      </c>
      <c r="H51" s="5" t="s">
        <v>99</v>
      </c>
      <c r="I51" s="7">
        <v>5</v>
      </c>
      <c r="J51" s="5" t="s">
        <v>429</v>
      </c>
      <c r="K51" s="5" t="s">
        <v>148</v>
      </c>
      <c r="L51" s="5">
        <v>28</v>
      </c>
      <c r="M51" s="5" t="s">
        <v>430</v>
      </c>
      <c r="N51" s="5" t="s">
        <v>159</v>
      </c>
      <c r="O51" s="5" t="s">
        <v>99</v>
      </c>
      <c r="P51" s="5" t="s">
        <v>99</v>
      </c>
    </row>
    <row r="52" spans="1:16" s="5" customFormat="1" x14ac:dyDescent="0.25">
      <c r="A52" s="5" t="s">
        <v>431</v>
      </c>
      <c r="B52" s="5" t="s">
        <v>28</v>
      </c>
      <c r="C52" s="5" t="s">
        <v>432</v>
      </c>
      <c r="D52" s="5" t="s">
        <v>433</v>
      </c>
      <c r="E52" s="5" t="s">
        <v>434</v>
      </c>
      <c r="F52" s="8" t="s">
        <v>9</v>
      </c>
      <c r="G52" s="5" t="s">
        <v>435</v>
      </c>
      <c r="H52" s="5" t="s">
        <v>99</v>
      </c>
      <c r="I52" s="7">
        <v>5</v>
      </c>
      <c r="J52" s="5" t="s">
        <v>103</v>
      </c>
      <c r="K52" s="5" t="s">
        <v>424</v>
      </c>
      <c r="L52" s="5">
        <v>35</v>
      </c>
      <c r="M52" s="5" t="s">
        <v>110</v>
      </c>
      <c r="N52" s="5" t="s">
        <v>99</v>
      </c>
      <c r="O52" s="5" t="s">
        <v>99</v>
      </c>
      <c r="P52" s="5" t="s">
        <v>99</v>
      </c>
    </row>
    <row r="53" spans="1:16" s="5" customFormat="1" x14ac:dyDescent="0.25">
      <c r="A53" s="5" t="s">
        <v>436</v>
      </c>
      <c r="B53" s="5" t="s">
        <v>28</v>
      </c>
      <c r="C53" s="5" t="s">
        <v>437</v>
      </c>
      <c r="D53" s="5" t="s">
        <v>438</v>
      </c>
      <c r="E53" s="5" t="s">
        <v>439</v>
      </c>
      <c r="F53" s="6" t="s">
        <v>10</v>
      </c>
      <c r="G53" s="5" t="s">
        <v>440</v>
      </c>
      <c r="H53" s="5" t="s">
        <v>441</v>
      </c>
      <c r="I53" s="9">
        <v>4</v>
      </c>
      <c r="J53" s="5" t="s">
        <v>124</v>
      </c>
      <c r="K53" s="5" t="s">
        <v>431</v>
      </c>
      <c r="L53" s="5">
        <v>16</v>
      </c>
      <c r="M53" s="5" t="s">
        <v>442</v>
      </c>
      <c r="N53" s="5" t="s">
        <v>443</v>
      </c>
      <c r="O53" s="5" t="s">
        <v>99</v>
      </c>
      <c r="P53" s="5" t="s">
        <v>99</v>
      </c>
    </row>
    <row r="54" spans="1:16" s="5" customFormat="1" x14ac:dyDescent="0.25">
      <c r="A54" s="5" t="s">
        <v>444</v>
      </c>
      <c r="B54" s="5" t="s">
        <v>28</v>
      </c>
      <c r="C54" s="5" t="s">
        <v>437</v>
      </c>
      <c r="D54" s="5" t="s">
        <v>445</v>
      </c>
      <c r="E54" s="5" t="s">
        <v>446</v>
      </c>
      <c r="F54" s="10" t="s">
        <v>12</v>
      </c>
      <c r="G54" s="5" t="s">
        <v>447</v>
      </c>
      <c r="H54" s="5" t="s">
        <v>99</v>
      </c>
      <c r="I54" s="9">
        <v>4</v>
      </c>
      <c r="J54" s="5" t="s">
        <v>124</v>
      </c>
      <c r="K54" s="5" t="s">
        <v>436</v>
      </c>
      <c r="L54" s="5">
        <v>16</v>
      </c>
      <c r="M54" s="5" t="s">
        <v>448</v>
      </c>
      <c r="N54" s="5" t="s">
        <v>449</v>
      </c>
      <c r="O54" s="5" t="s">
        <v>99</v>
      </c>
      <c r="P54" s="5" t="s">
        <v>99</v>
      </c>
    </row>
    <row r="55" spans="1:16" s="5" customFormat="1" x14ac:dyDescent="0.25">
      <c r="A55" s="5" t="s">
        <v>450</v>
      </c>
      <c r="B55" s="5" t="s">
        <v>28</v>
      </c>
      <c r="C55" s="5" t="s">
        <v>451</v>
      </c>
      <c r="D55" s="5" t="s">
        <v>452</v>
      </c>
      <c r="E55" s="5" t="s">
        <v>453</v>
      </c>
      <c r="F55" s="8" t="s">
        <v>9</v>
      </c>
      <c r="G55" s="5" t="s">
        <v>454</v>
      </c>
      <c r="H55" s="5" t="s">
        <v>99</v>
      </c>
      <c r="I55" s="7">
        <v>5</v>
      </c>
      <c r="J55" s="5" t="s">
        <v>103</v>
      </c>
      <c r="K55" s="5" t="s">
        <v>455</v>
      </c>
      <c r="L55" s="5">
        <v>22</v>
      </c>
      <c r="M55" s="5" t="s">
        <v>110</v>
      </c>
      <c r="N55" s="5" t="s">
        <v>99</v>
      </c>
      <c r="O55" s="5" t="s">
        <v>99</v>
      </c>
      <c r="P55" s="5" t="s">
        <v>99</v>
      </c>
    </row>
    <row r="56" spans="1:16" s="5" customFormat="1" x14ac:dyDescent="0.25">
      <c r="A56" s="5" t="s">
        <v>456</v>
      </c>
      <c r="B56" s="5" t="s">
        <v>28</v>
      </c>
      <c r="C56" s="5" t="s">
        <v>457</v>
      </c>
      <c r="D56" s="5" t="s">
        <v>458</v>
      </c>
      <c r="E56" s="5" t="s">
        <v>459</v>
      </c>
      <c r="F56" s="10" t="s">
        <v>12</v>
      </c>
      <c r="G56" s="5" t="s">
        <v>460</v>
      </c>
      <c r="H56" s="5" t="s">
        <v>461</v>
      </c>
      <c r="I56" s="9">
        <v>4</v>
      </c>
      <c r="J56" s="5" t="s">
        <v>124</v>
      </c>
      <c r="K56" s="5" t="s">
        <v>462</v>
      </c>
      <c r="L56" s="5">
        <v>17</v>
      </c>
      <c r="M56" s="5" t="s">
        <v>463</v>
      </c>
      <c r="N56" s="5" t="s">
        <v>464</v>
      </c>
      <c r="O56" s="5" t="s">
        <v>99</v>
      </c>
      <c r="P56" s="5" t="s">
        <v>99</v>
      </c>
    </row>
    <row r="57" spans="1:16" s="5" customFormat="1" x14ac:dyDescent="0.25">
      <c r="A57" s="5" t="s">
        <v>66</v>
      </c>
      <c r="B57" s="5" t="s">
        <v>28</v>
      </c>
      <c r="C57" s="5" t="s">
        <v>465</v>
      </c>
      <c r="D57" s="5" t="s">
        <v>67</v>
      </c>
      <c r="E57" s="5" t="s">
        <v>466</v>
      </c>
      <c r="F57" s="10" t="s">
        <v>12</v>
      </c>
      <c r="G57" s="5" t="s">
        <v>467</v>
      </c>
      <c r="H57" s="5" t="s">
        <v>99</v>
      </c>
      <c r="I57" s="7">
        <v>5</v>
      </c>
      <c r="J57" s="5" t="s">
        <v>139</v>
      </c>
      <c r="K57" s="5" t="s">
        <v>456</v>
      </c>
      <c r="L57" s="5">
        <v>55</v>
      </c>
      <c r="M57" s="5" t="s">
        <v>468</v>
      </c>
      <c r="N57" s="5" t="s">
        <v>469</v>
      </c>
      <c r="O57" s="5" t="s">
        <v>99</v>
      </c>
      <c r="P57" s="5" t="s">
        <v>99</v>
      </c>
    </row>
    <row r="58" spans="1:16" s="5" customFormat="1" x14ac:dyDescent="0.25">
      <c r="A58" s="5" t="s">
        <v>470</v>
      </c>
      <c r="B58" s="5" t="s">
        <v>28</v>
      </c>
      <c r="C58" s="5" t="s">
        <v>471</v>
      </c>
      <c r="D58" s="5" t="s">
        <v>472</v>
      </c>
      <c r="E58" s="5" t="s">
        <v>473</v>
      </c>
      <c r="F58" s="10" t="s">
        <v>12</v>
      </c>
      <c r="G58" s="5" t="s">
        <v>467</v>
      </c>
      <c r="H58" s="5" t="s">
        <v>99</v>
      </c>
      <c r="I58" s="5">
        <v>2</v>
      </c>
      <c r="J58" s="5" t="s">
        <v>103</v>
      </c>
      <c r="K58" s="5" t="s">
        <v>297</v>
      </c>
      <c r="L58" s="5">
        <v>140</v>
      </c>
      <c r="M58" s="5" t="s">
        <v>474</v>
      </c>
      <c r="N58" s="5" t="s">
        <v>475</v>
      </c>
      <c r="O58" s="5" t="s">
        <v>99</v>
      </c>
      <c r="P58" s="5" t="s">
        <v>99</v>
      </c>
    </row>
    <row r="59" spans="1:16" s="5" customFormat="1" x14ac:dyDescent="0.25">
      <c r="A59" s="5" t="s">
        <v>476</v>
      </c>
      <c r="B59" s="5" t="s">
        <v>28</v>
      </c>
      <c r="C59" s="5" t="s">
        <v>477</v>
      </c>
      <c r="D59" s="5" t="s">
        <v>478</v>
      </c>
      <c r="E59" s="5" t="s">
        <v>479</v>
      </c>
      <c r="F59" s="6" t="s">
        <v>10</v>
      </c>
      <c r="G59" s="5" t="s">
        <v>480</v>
      </c>
      <c r="H59" s="5" t="s">
        <v>99</v>
      </c>
      <c r="I59" s="5">
        <v>3</v>
      </c>
      <c r="J59" s="5" t="s">
        <v>124</v>
      </c>
      <c r="K59" s="5" t="s">
        <v>481</v>
      </c>
      <c r="L59" s="5">
        <v>75</v>
      </c>
      <c r="M59" s="5" t="s">
        <v>482</v>
      </c>
      <c r="N59" s="5" t="s">
        <v>483</v>
      </c>
      <c r="O59" s="5" t="s">
        <v>99</v>
      </c>
      <c r="P59" s="5" t="s">
        <v>99</v>
      </c>
    </row>
    <row r="60" spans="1:16" s="5" customFormat="1" x14ac:dyDescent="0.25">
      <c r="A60" s="5" t="s">
        <v>484</v>
      </c>
      <c r="B60" s="5" t="s">
        <v>29</v>
      </c>
      <c r="C60" s="5" t="s">
        <v>437</v>
      </c>
      <c r="D60" s="5" t="s">
        <v>485</v>
      </c>
      <c r="E60" s="5" t="s">
        <v>486</v>
      </c>
      <c r="F60" s="8" t="s">
        <v>9</v>
      </c>
      <c r="G60" s="5" t="s">
        <v>487</v>
      </c>
      <c r="H60" s="5" t="s">
        <v>99</v>
      </c>
      <c r="I60" s="7">
        <v>5</v>
      </c>
      <c r="J60" s="5" t="s">
        <v>103</v>
      </c>
      <c r="K60" s="5" t="s">
        <v>488</v>
      </c>
      <c r="L60" s="5">
        <v>40</v>
      </c>
      <c r="M60" s="5" t="s">
        <v>110</v>
      </c>
      <c r="N60" s="5" t="s">
        <v>99</v>
      </c>
      <c r="O60" s="5" t="s">
        <v>99</v>
      </c>
      <c r="P60" s="5" t="s">
        <v>99</v>
      </c>
    </row>
    <row r="61" spans="1:16" s="5" customFormat="1" x14ac:dyDescent="0.25">
      <c r="A61" s="5" t="s">
        <v>489</v>
      </c>
      <c r="B61" s="5" t="s">
        <v>29</v>
      </c>
      <c r="C61" s="5" t="s">
        <v>432</v>
      </c>
      <c r="D61" s="5" t="s">
        <v>490</v>
      </c>
      <c r="E61" s="5" t="s">
        <v>491</v>
      </c>
      <c r="F61" s="8" t="s">
        <v>9</v>
      </c>
      <c r="G61" s="5" t="s">
        <v>492</v>
      </c>
      <c r="H61" s="5" t="s">
        <v>99</v>
      </c>
      <c r="I61" s="7">
        <v>5</v>
      </c>
      <c r="J61" s="5" t="s">
        <v>103</v>
      </c>
      <c r="K61" s="5" t="s">
        <v>99</v>
      </c>
      <c r="L61" s="5">
        <v>30</v>
      </c>
      <c r="M61" s="5" t="s">
        <v>493</v>
      </c>
      <c r="N61" s="5" t="s">
        <v>494</v>
      </c>
      <c r="O61" s="5" t="s">
        <v>99</v>
      </c>
      <c r="P61" s="5" t="s">
        <v>99</v>
      </c>
    </row>
    <row r="62" spans="1:16" s="5" customFormat="1" x14ac:dyDescent="0.25">
      <c r="A62" s="5" t="s">
        <v>495</v>
      </c>
      <c r="B62" s="5" t="s">
        <v>29</v>
      </c>
      <c r="C62" s="5" t="s">
        <v>496</v>
      </c>
      <c r="D62" s="5" t="s">
        <v>497</v>
      </c>
      <c r="E62" s="5" t="s">
        <v>498</v>
      </c>
      <c r="F62" s="8" t="s">
        <v>9</v>
      </c>
      <c r="G62" s="5" t="s">
        <v>499</v>
      </c>
      <c r="H62" s="5" t="s">
        <v>99</v>
      </c>
      <c r="I62" s="9">
        <v>4</v>
      </c>
      <c r="J62" s="5" t="s">
        <v>103</v>
      </c>
      <c r="K62" s="5" t="s">
        <v>489</v>
      </c>
      <c r="L62" s="5">
        <v>40</v>
      </c>
      <c r="M62" s="5" t="s">
        <v>500</v>
      </c>
      <c r="N62" s="5" t="s">
        <v>501</v>
      </c>
      <c r="O62" s="5" t="s">
        <v>99</v>
      </c>
      <c r="P62" s="5" t="s">
        <v>99</v>
      </c>
    </row>
    <row r="63" spans="1:16" s="5" customFormat="1" x14ac:dyDescent="0.25">
      <c r="A63" s="5" t="s">
        <v>502</v>
      </c>
      <c r="B63" s="5" t="s">
        <v>29</v>
      </c>
      <c r="C63" s="5" t="s">
        <v>503</v>
      </c>
      <c r="D63" s="5" t="s">
        <v>504</v>
      </c>
      <c r="E63" s="5" t="s">
        <v>505</v>
      </c>
      <c r="F63" s="8" t="s">
        <v>9</v>
      </c>
      <c r="G63" s="5" t="s">
        <v>506</v>
      </c>
      <c r="H63" s="5" t="s">
        <v>99</v>
      </c>
      <c r="I63" s="7">
        <v>5</v>
      </c>
      <c r="J63" s="5" t="s">
        <v>103</v>
      </c>
      <c r="K63" s="5" t="s">
        <v>329</v>
      </c>
      <c r="L63" s="5">
        <v>25</v>
      </c>
      <c r="M63" s="5" t="s">
        <v>110</v>
      </c>
      <c r="N63" s="5" t="s">
        <v>507</v>
      </c>
      <c r="O63" s="5" t="s">
        <v>99</v>
      </c>
      <c r="P63" s="5" t="s">
        <v>99</v>
      </c>
    </row>
    <row r="64" spans="1:16" s="5" customFormat="1" x14ac:dyDescent="0.25">
      <c r="A64" s="5" t="s">
        <v>508</v>
      </c>
      <c r="B64" s="5" t="s">
        <v>29</v>
      </c>
      <c r="C64" s="5" t="s">
        <v>457</v>
      </c>
      <c r="D64" s="5" t="s">
        <v>509</v>
      </c>
      <c r="E64" s="5" t="s">
        <v>510</v>
      </c>
      <c r="F64" s="8" t="s">
        <v>9</v>
      </c>
      <c r="G64" s="5" t="s">
        <v>511</v>
      </c>
      <c r="H64" s="5" t="s">
        <v>99</v>
      </c>
      <c r="I64" s="7">
        <v>5</v>
      </c>
      <c r="J64" s="5" t="s">
        <v>103</v>
      </c>
      <c r="K64" s="5" t="s">
        <v>502</v>
      </c>
      <c r="L64" s="5">
        <v>30</v>
      </c>
      <c r="M64" s="5" t="s">
        <v>512</v>
      </c>
      <c r="N64" s="5" t="s">
        <v>513</v>
      </c>
      <c r="O64" s="5" t="s">
        <v>99</v>
      </c>
      <c r="P64" s="5" t="s">
        <v>99</v>
      </c>
    </row>
    <row r="65" spans="1:16" s="5" customFormat="1" x14ac:dyDescent="0.25">
      <c r="A65" s="5" t="s">
        <v>514</v>
      </c>
      <c r="B65" s="5" t="s">
        <v>29</v>
      </c>
      <c r="C65" s="5" t="s">
        <v>457</v>
      </c>
      <c r="D65" s="5" t="s">
        <v>515</v>
      </c>
      <c r="E65" s="5" t="s">
        <v>516</v>
      </c>
      <c r="F65" s="11" t="s">
        <v>13</v>
      </c>
      <c r="G65" s="5" t="s">
        <v>517</v>
      </c>
      <c r="H65" s="5" t="s">
        <v>518</v>
      </c>
      <c r="I65" s="9">
        <v>4</v>
      </c>
      <c r="J65" s="5" t="s">
        <v>124</v>
      </c>
      <c r="K65" s="5" t="s">
        <v>57</v>
      </c>
      <c r="L65" s="5">
        <v>14</v>
      </c>
      <c r="M65" s="5" t="s">
        <v>519</v>
      </c>
      <c r="N65" s="5" t="s">
        <v>520</v>
      </c>
      <c r="O65" s="5" t="s">
        <v>99</v>
      </c>
      <c r="P65" s="5" t="s">
        <v>99</v>
      </c>
    </row>
    <row r="66" spans="1:16" s="5" customFormat="1" x14ac:dyDescent="0.25">
      <c r="A66" s="5" t="s">
        <v>521</v>
      </c>
      <c r="B66" s="5" t="s">
        <v>29</v>
      </c>
      <c r="C66" s="5" t="s">
        <v>522</v>
      </c>
      <c r="D66" s="5" t="s">
        <v>523</v>
      </c>
      <c r="E66" s="5" t="s">
        <v>524</v>
      </c>
      <c r="F66" s="10" t="s">
        <v>12</v>
      </c>
      <c r="G66" s="5" t="s">
        <v>525</v>
      </c>
      <c r="H66" s="5" t="s">
        <v>526</v>
      </c>
      <c r="I66" s="9">
        <v>4</v>
      </c>
      <c r="J66" s="5" t="s">
        <v>124</v>
      </c>
      <c r="K66" s="5" t="s">
        <v>527</v>
      </c>
      <c r="L66" s="5">
        <v>58</v>
      </c>
      <c r="M66" s="5" t="s">
        <v>528</v>
      </c>
      <c r="N66" s="5" t="s">
        <v>529</v>
      </c>
      <c r="O66" s="5" t="s">
        <v>99</v>
      </c>
      <c r="P66" s="5" t="s">
        <v>99</v>
      </c>
    </row>
    <row r="67" spans="1:16" s="5" customFormat="1" x14ac:dyDescent="0.25">
      <c r="A67" s="5" t="s">
        <v>530</v>
      </c>
      <c r="B67" s="5" t="s">
        <v>29</v>
      </c>
      <c r="C67" s="5" t="s">
        <v>531</v>
      </c>
      <c r="D67" s="5" t="s">
        <v>532</v>
      </c>
      <c r="E67" s="5" t="s">
        <v>533</v>
      </c>
      <c r="F67" s="6" t="s">
        <v>10</v>
      </c>
      <c r="G67" s="5" t="s">
        <v>534</v>
      </c>
      <c r="H67" s="5" t="s">
        <v>535</v>
      </c>
      <c r="I67" s="9">
        <v>4</v>
      </c>
      <c r="J67" s="5" t="s">
        <v>124</v>
      </c>
      <c r="K67" s="5" t="s">
        <v>42</v>
      </c>
      <c r="L67" s="5">
        <v>19</v>
      </c>
      <c r="M67" s="5" t="s">
        <v>536</v>
      </c>
      <c r="N67" s="5" t="s">
        <v>537</v>
      </c>
      <c r="O67" s="5" t="s">
        <v>99</v>
      </c>
      <c r="P67" s="5" t="s">
        <v>99</v>
      </c>
    </row>
    <row r="68" spans="1:16" s="5" customFormat="1" x14ac:dyDescent="0.25">
      <c r="A68" s="5" t="s">
        <v>538</v>
      </c>
      <c r="B68" s="5" t="s">
        <v>29</v>
      </c>
      <c r="C68" s="5" t="s">
        <v>539</v>
      </c>
      <c r="D68" s="5" t="s">
        <v>540</v>
      </c>
      <c r="E68" s="5" t="s">
        <v>541</v>
      </c>
      <c r="F68" s="10" t="s">
        <v>12</v>
      </c>
      <c r="G68" s="5" t="s">
        <v>542</v>
      </c>
      <c r="H68" s="5" t="s">
        <v>99</v>
      </c>
      <c r="I68" s="9">
        <v>4</v>
      </c>
      <c r="J68" s="5" t="s">
        <v>124</v>
      </c>
      <c r="K68" s="5" t="s">
        <v>543</v>
      </c>
      <c r="L68" s="5">
        <v>48</v>
      </c>
      <c r="M68" s="5" t="s">
        <v>544</v>
      </c>
      <c r="N68" s="5" t="s">
        <v>545</v>
      </c>
      <c r="O68" s="5" t="s">
        <v>99</v>
      </c>
      <c r="P68" s="5" t="s">
        <v>99</v>
      </c>
    </row>
    <row r="69" spans="1:16" s="5" customFormat="1" x14ac:dyDescent="0.25">
      <c r="A69" s="5" t="s">
        <v>546</v>
      </c>
      <c r="B69" s="5" t="s">
        <v>29</v>
      </c>
      <c r="C69" s="5" t="s">
        <v>547</v>
      </c>
      <c r="D69" s="5" t="s">
        <v>548</v>
      </c>
      <c r="E69" s="5" t="s">
        <v>549</v>
      </c>
      <c r="F69" s="10" t="s">
        <v>12</v>
      </c>
      <c r="G69" s="5" t="s">
        <v>550</v>
      </c>
      <c r="H69" s="5" t="s">
        <v>99</v>
      </c>
      <c r="I69" s="5">
        <v>3</v>
      </c>
      <c r="J69" s="5" t="s">
        <v>103</v>
      </c>
      <c r="K69" s="5" t="s">
        <v>508</v>
      </c>
      <c r="L69" s="5">
        <v>90</v>
      </c>
      <c r="M69" s="5" t="s">
        <v>551</v>
      </c>
      <c r="N69" s="5" t="s">
        <v>552</v>
      </c>
      <c r="O69" s="5" t="s">
        <v>99</v>
      </c>
      <c r="P69" s="5" t="s">
        <v>99</v>
      </c>
    </row>
    <row r="70" spans="1:16" s="5" customFormat="1" x14ac:dyDescent="0.25">
      <c r="A70" s="5" t="s">
        <v>553</v>
      </c>
      <c r="B70" s="5" t="s">
        <v>29</v>
      </c>
      <c r="C70" s="5" t="s">
        <v>554</v>
      </c>
      <c r="D70" s="5" t="s">
        <v>555</v>
      </c>
      <c r="E70" s="5" t="s">
        <v>556</v>
      </c>
      <c r="F70" s="6" t="s">
        <v>10</v>
      </c>
      <c r="G70" s="5" t="s">
        <v>557</v>
      </c>
      <c r="H70" s="5" t="s">
        <v>99</v>
      </c>
      <c r="I70" s="5">
        <v>3</v>
      </c>
      <c r="J70" s="5" t="s">
        <v>124</v>
      </c>
      <c r="K70" s="5" t="s">
        <v>558</v>
      </c>
      <c r="L70" s="5">
        <v>70</v>
      </c>
      <c r="M70" s="5" t="s">
        <v>559</v>
      </c>
      <c r="N70" s="5" t="s">
        <v>560</v>
      </c>
      <c r="O70" s="5" t="s">
        <v>99</v>
      </c>
      <c r="P70" s="5" t="s">
        <v>99</v>
      </c>
    </row>
    <row r="71" spans="1:16" s="5" customFormat="1" x14ac:dyDescent="0.25">
      <c r="A71" s="5" t="s">
        <v>561</v>
      </c>
      <c r="B71" s="5" t="s">
        <v>30</v>
      </c>
      <c r="C71" s="5" t="s">
        <v>562</v>
      </c>
      <c r="D71" s="5" t="s">
        <v>563</v>
      </c>
      <c r="E71" s="5" t="s">
        <v>564</v>
      </c>
      <c r="F71" s="8" t="s">
        <v>9</v>
      </c>
      <c r="G71" s="5" t="s">
        <v>565</v>
      </c>
      <c r="H71" s="5" t="s">
        <v>99</v>
      </c>
      <c r="I71" s="9">
        <v>4</v>
      </c>
      <c r="J71" s="5" t="s">
        <v>103</v>
      </c>
      <c r="K71" s="5" t="s">
        <v>297</v>
      </c>
      <c r="L71" s="5">
        <v>60</v>
      </c>
      <c r="M71" s="5" t="s">
        <v>110</v>
      </c>
      <c r="N71" s="5" t="s">
        <v>566</v>
      </c>
      <c r="O71" s="5" t="s">
        <v>99</v>
      </c>
      <c r="P71" s="5" t="s">
        <v>99</v>
      </c>
    </row>
    <row r="72" spans="1:16" s="5" customFormat="1" x14ac:dyDescent="0.25">
      <c r="A72" s="5" t="s">
        <v>567</v>
      </c>
      <c r="B72" s="5" t="s">
        <v>30</v>
      </c>
      <c r="C72" s="5" t="s">
        <v>568</v>
      </c>
      <c r="D72" s="5" t="s">
        <v>569</v>
      </c>
      <c r="E72" s="5" t="s">
        <v>570</v>
      </c>
      <c r="F72" s="8" t="s">
        <v>9</v>
      </c>
      <c r="G72" s="5" t="s">
        <v>571</v>
      </c>
      <c r="H72" s="5" t="s">
        <v>99</v>
      </c>
      <c r="I72" s="5">
        <v>3</v>
      </c>
      <c r="J72" s="5" t="s">
        <v>103</v>
      </c>
      <c r="K72" s="5" t="s">
        <v>561</v>
      </c>
      <c r="L72" s="5">
        <v>80</v>
      </c>
      <c r="M72" s="5" t="s">
        <v>572</v>
      </c>
      <c r="N72" s="5" t="s">
        <v>573</v>
      </c>
      <c r="O72" s="5" t="s">
        <v>99</v>
      </c>
      <c r="P72" s="5" t="s">
        <v>99</v>
      </c>
    </row>
    <row r="73" spans="1:16" s="5" customFormat="1" x14ac:dyDescent="0.25">
      <c r="A73" s="5" t="s">
        <v>315</v>
      </c>
      <c r="B73" s="5" t="s">
        <v>30</v>
      </c>
      <c r="C73" s="5" t="s">
        <v>574</v>
      </c>
      <c r="D73" s="5" t="s">
        <v>575</v>
      </c>
      <c r="E73" s="5" t="s">
        <v>576</v>
      </c>
      <c r="F73" s="8" t="s">
        <v>9</v>
      </c>
      <c r="G73" s="5" t="s">
        <v>577</v>
      </c>
      <c r="H73" s="5" t="s">
        <v>99</v>
      </c>
      <c r="I73" s="9">
        <v>4</v>
      </c>
      <c r="J73" s="5" t="s">
        <v>103</v>
      </c>
      <c r="K73" s="5" t="s">
        <v>99</v>
      </c>
      <c r="L73" s="5">
        <v>60</v>
      </c>
      <c r="M73" s="5" t="s">
        <v>110</v>
      </c>
      <c r="N73" s="5" t="s">
        <v>578</v>
      </c>
      <c r="O73" s="5" t="s">
        <v>99</v>
      </c>
      <c r="P73" s="5" t="s">
        <v>99</v>
      </c>
    </row>
    <row r="74" spans="1:16" s="5" customFormat="1" x14ac:dyDescent="0.25">
      <c r="A74" s="5" t="s">
        <v>579</v>
      </c>
      <c r="B74" s="5" t="s">
        <v>30</v>
      </c>
      <c r="C74" s="5" t="s">
        <v>574</v>
      </c>
      <c r="D74" s="5" t="s">
        <v>580</v>
      </c>
      <c r="E74" s="5" t="s">
        <v>581</v>
      </c>
      <c r="F74" s="6" t="s">
        <v>10</v>
      </c>
      <c r="G74" s="5" t="s">
        <v>582</v>
      </c>
      <c r="H74" s="5" t="s">
        <v>583</v>
      </c>
      <c r="I74" s="5">
        <v>3</v>
      </c>
      <c r="J74" s="5" t="s">
        <v>103</v>
      </c>
      <c r="K74" s="5" t="s">
        <v>315</v>
      </c>
      <c r="L74" s="5">
        <v>85</v>
      </c>
      <c r="M74" s="5" t="s">
        <v>584</v>
      </c>
      <c r="N74" s="5" t="s">
        <v>585</v>
      </c>
      <c r="O74" s="5" t="s">
        <v>99</v>
      </c>
      <c r="P74" s="5" t="s">
        <v>99</v>
      </c>
    </row>
    <row r="75" spans="1:16" s="5" customFormat="1" x14ac:dyDescent="0.25">
      <c r="A75" s="5" t="s">
        <v>586</v>
      </c>
      <c r="B75" s="5" t="s">
        <v>30</v>
      </c>
      <c r="C75" s="5" t="s">
        <v>574</v>
      </c>
      <c r="D75" s="5" t="s">
        <v>587</v>
      </c>
      <c r="E75" s="5" t="s">
        <v>588</v>
      </c>
      <c r="F75" s="8" t="s">
        <v>9</v>
      </c>
      <c r="G75" s="5" t="s">
        <v>589</v>
      </c>
      <c r="H75" s="5" t="s">
        <v>99</v>
      </c>
      <c r="I75" s="9">
        <v>4</v>
      </c>
      <c r="J75" s="5" t="s">
        <v>103</v>
      </c>
      <c r="K75" s="5" t="s">
        <v>484</v>
      </c>
      <c r="L75" s="5">
        <v>55</v>
      </c>
      <c r="M75" s="5" t="s">
        <v>110</v>
      </c>
      <c r="N75" s="5" t="s">
        <v>590</v>
      </c>
      <c r="O75" s="5" t="s">
        <v>99</v>
      </c>
      <c r="P75" s="5" t="s">
        <v>99</v>
      </c>
    </row>
    <row r="76" spans="1:16" s="5" customFormat="1" x14ac:dyDescent="0.25">
      <c r="A76" s="5" t="s">
        <v>591</v>
      </c>
      <c r="B76" s="5" t="s">
        <v>30</v>
      </c>
      <c r="C76" s="5" t="s">
        <v>592</v>
      </c>
      <c r="D76" s="5" t="s">
        <v>593</v>
      </c>
      <c r="E76" s="5" t="s">
        <v>594</v>
      </c>
      <c r="F76" s="8" t="s">
        <v>9</v>
      </c>
      <c r="G76" s="5" t="s">
        <v>595</v>
      </c>
      <c r="H76" s="5" t="s">
        <v>99</v>
      </c>
      <c r="I76" s="5">
        <v>3</v>
      </c>
      <c r="J76" s="5" t="s">
        <v>103</v>
      </c>
      <c r="K76" s="5" t="s">
        <v>99</v>
      </c>
      <c r="L76" s="5">
        <v>80</v>
      </c>
      <c r="M76" s="5" t="s">
        <v>110</v>
      </c>
      <c r="N76" s="5" t="s">
        <v>596</v>
      </c>
      <c r="O76" s="5" t="s">
        <v>99</v>
      </c>
      <c r="P76" s="5" t="s">
        <v>99</v>
      </c>
    </row>
    <row r="77" spans="1:16" s="5" customFormat="1" x14ac:dyDescent="0.25">
      <c r="A77" s="5" t="s">
        <v>488</v>
      </c>
      <c r="B77" s="5" t="s">
        <v>30</v>
      </c>
      <c r="C77" s="5" t="s">
        <v>597</v>
      </c>
      <c r="D77" s="5" t="s">
        <v>598</v>
      </c>
      <c r="E77" s="5" t="s">
        <v>599</v>
      </c>
      <c r="F77" s="8" t="s">
        <v>9</v>
      </c>
      <c r="G77" s="5" t="s">
        <v>600</v>
      </c>
      <c r="H77" s="5" t="s">
        <v>99</v>
      </c>
      <c r="I77" s="5">
        <v>3</v>
      </c>
      <c r="J77" s="5" t="s">
        <v>103</v>
      </c>
      <c r="K77" s="5" t="s">
        <v>99</v>
      </c>
      <c r="L77" s="5">
        <v>85</v>
      </c>
      <c r="M77" s="5" t="s">
        <v>110</v>
      </c>
      <c r="N77" s="5" t="s">
        <v>601</v>
      </c>
      <c r="O77" s="5" t="s">
        <v>99</v>
      </c>
      <c r="P77" s="5" t="s">
        <v>99</v>
      </c>
    </row>
    <row r="78" spans="1:16" s="5" customFormat="1" x14ac:dyDescent="0.25">
      <c r="A78" s="5" t="s">
        <v>602</v>
      </c>
      <c r="B78" s="5" t="s">
        <v>30</v>
      </c>
      <c r="C78" s="5" t="s">
        <v>603</v>
      </c>
      <c r="D78" s="5" t="s">
        <v>604</v>
      </c>
      <c r="E78" s="5" t="s">
        <v>605</v>
      </c>
      <c r="F78" s="12" t="s">
        <v>14</v>
      </c>
      <c r="G78" s="5" t="s">
        <v>606</v>
      </c>
      <c r="H78" s="5" t="s">
        <v>99</v>
      </c>
      <c r="I78" s="5">
        <v>2</v>
      </c>
      <c r="J78" s="5" t="s">
        <v>103</v>
      </c>
      <c r="K78" s="5" t="s">
        <v>99</v>
      </c>
      <c r="L78" s="5">
        <v>150</v>
      </c>
      <c r="M78" s="5" t="s">
        <v>474</v>
      </c>
      <c r="N78" s="5" t="s">
        <v>607</v>
      </c>
      <c r="O78" s="5" t="s">
        <v>99</v>
      </c>
      <c r="P78" s="5" t="s">
        <v>99</v>
      </c>
    </row>
    <row r="79" spans="1:16" s="5" customFormat="1" x14ac:dyDescent="0.25">
      <c r="A79" s="5" t="s">
        <v>608</v>
      </c>
      <c r="B79" s="5" t="s">
        <v>30</v>
      </c>
      <c r="C79" s="5" t="s">
        <v>609</v>
      </c>
      <c r="D79" s="5" t="s">
        <v>609</v>
      </c>
      <c r="E79" s="5" t="s">
        <v>610</v>
      </c>
      <c r="F79" s="12" t="s">
        <v>14</v>
      </c>
      <c r="G79" s="5" t="s">
        <v>611</v>
      </c>
      <c r="H79" s="5" t="s">
        <v>99</v>
      </c>
      <c r="I79" s="5">
        <v>1</v>
      </c>
      <c r="J79" s="5" t="s">
        <v>103</v>
      </c>
      <c r="K79" s="5" t="s">
        <v>99</v>
      </c>
      <c r="L79" s="5">
        <v>160</v>
      </c>
      <c r="M79" s="5" t="s">
        <v>612</v>
      </c>
      <c r="N79" s="5" t="s">
        <v>613</v>
      </c>
      <c r="O79" s="5" t="s">
        <v>99</v>
      </c>
      <c r="P79" s="5" t="s">
        <v>99</v>
      </c>
    </row>
    <row r="80" spans="1:16" s="5" customFormat="1" x14ac:dyDescent="0.25">
      <c r="A80" s="5" t="s">
        <v>614</v>
      </c>
      <c r="B80" s="5" t="s">
        <v>30</v>
      </c>
      <c r="C80" s="5" t="s">
        <v>615</v>
      </c>
      <c r="D80" s="5" t="s">
        <v>616</v>
      </c>
      <c r="E80" s="5" t="s">
        <v>617</v>
      </c>
      <c r="F80" s="10" t="s">
        <v>12</v>
      </c>
      <c r="G80" s="5" t="s">
        <v>618</v>
      </c>
      <c r="H80" s="5" t="s">
        <v>99</v>
      </c>
      <c r="I80" s="5">
        <v>2</v>
      </c>
      <c r="J80" s="5" t="s">
        <v>103</v>
      </c>
      <c r="K80" s="5" t="s">
        <v>591</v>
      </c>
      <c r="L80" s="5">
        <v>145</v>
      </c>
      <c r="M80" s="5" t="s">
        <v>619</v>
      </c>
      <c r="N80" s="5" t="s">
        <v>620</v>
      </c>
      <c r="O80" s="5" t="s">
        <v>99</v>
      </c>
      <c r="P80" s="5" t="s">
        <v>99</v>
      </c>
    </row>
    <row r="81" spans="1:16" s="5" customFormat="1" x14ac:dyDescent="0.25">
      <c r="A81" s="5" t="s">
        <v>621</v>
      </c>
      <c r="B81" s="5" t="s">
        <v>30</v>
      </c>
      <c r="C81" s="5" t="s">
        <v>622</v>
      </c>
      <c r="D81" s="5" t="s">
        <v>623</v>
      </c>
      <c r="E81" s="5" t="s">
        <v>624</v>
      </c>
      <c r="F81" s="12" t="s">
        <v>14</v>
      </c>
      <c r="G81" s="5" t="s">
        <v>625</v>
      </c>
      <c r="H81" s="5" t="s">
        <v>99</v>
      </c>
      <c r="I81" s="5">
        <v>1</v>
      </c>
      <c r="J81" s="5" t="s">
        <v>103</v>
      </c>
      <c r="K81" s="5" t="s">
        <v>297</v>
      </c>
      <c r="L81" s="5">
        <v>155</v>
      </c>
      <c r="M81" s="5" t="s">
        <v>626</v>
      </c>
      <c r="N81" s="5" t="s">
        <v>627</v>
      </c>
      <c r="O81" s="5" t="s">
        <v>99</v>
      </c>
      <c r="P81" s="5" t="s">
        <v>99</v>
      </c>
    </row>
    <row r="82" spans="1:16" s="5" customFormat="1" x14ac:dyDescent="0.25">
      <c r="A82" s="5" t="s">
        <v>294</v>
      </c>
      <c r="B82" s="5" t="s">
        <v>31</v>
      </c>
      <c r="C82" s="5" t="s">
        <v>628</v>
      </c>
      <c r="D82" s="5" t="s">
        <v>629</v>
      </c>
      <c r="E82" s="5" t="s">
        <v>630</v>
      </c>
      <c r="F82" s="8" t="s">
        <v>9</v>
      </c>
      <c r="G82" s="5" t="s">
        <v>631</v>
      </c>
      <c r="H82" s="5" t="s">
        <v>99</v>
      </c>
      <c r="I82" s="7">
        <v>5</v>
      </c>
      <c r="J82" s="5" t="s">
        <v>103</v>
      </c>
      <c r="K82" s="5" t="s">
        <v>243</v>
      </c>
      <c r="L82" s="5">
        <v>40</v>
      </c>
      <c r="M82" s="5" t="s">
        <v>110</v>
      </c>
      <c r="N82" s="5" t="s">
        <v>632</v>
      </c>
      <c r="O82" s="5" t="s">
        <v>99</v>
      </c>
      <c r="P82" s="5" t="s">
        <v>99</v>
      </c>
    </row>
    <row r="83" spans="1:16" s="5" customFormat="1" x14ac:dyDescent="0.25">
      <c r="A83" s="5" t="s">
        <v>633</v>
      </c>
      <c r="B83" s="5" t="s">
        <v>31</v>
      </c>
      <c r="C83" s="5" t="s">
        <v>628</v>
      </c>
      <c r="D83" s="5" t="s">
        <v>634</v>
      </c>
      <c r="E83" s="5" t="s">
        <v>635</v>
      </c>
      <c r="F83" s="8" t="s">
        <v>9</v>
      </c>
      <c r="G83" s="5" t="s">
        <v>636</v>
      </c>
      <c r="H83" s="5" t="s">
        <v>99</v>
      </c>
      <c r="I83" s="5">
        <v>3</v>
      </c>
      <c r="J83" s="5" t="s">
        <v>103</v>
      </c>
      <c r="K83" s="5" t="s">
        <v>294</v>
      </c>
      <c r="L83" s="5">
        <v>90</v>
      </c>
      <c r="M83" s="5" t="s">
        <v>110</v>
      </c>
      <c r="N83" s="5" t="s">
        <v>99</v>
      </c>
      <c r="O83" s="5" t="s">
        <v>99</v>
      </c>
      <c r="P83" s="5" t="s">
        <v>99</v>
      </c>
    </row>
    <row r="84" spans="1:16" s="5" customFormat="1" x14ac:dyDescent="0.25">
      <c r="A84" s="5" t="s">
        <v>637</v>
      </c>
      <c r="B84" s="5" t="s">
        <v>31</v>
      </c>
      <c r="C84" s="5" t="s">
        <v>628</v>
      </c>
      <c r="D84" s="5" t="s">
        <v>638</v>
      </c>
      <c r="E84" s="5" t="s">
        <v>639</v>
      </c>
      <c r="F84" s="12" t="s">
        <v>14</v>
      </c>
      <c r="G84" s="5" t="s">
        <v>640</v>
      </c>
      <c r="H84" s="5" t="s">
        <v>99</v>
      </c>
      <c r="I84" s="5">
        <v>2</v>
      </c>
      <c r="J84" s="5" t="s">
        <v>641</v>
      </c>
      <c r="K84" s="5" t="s">
        <v>294</v>
      </c>
      <c r="L84" s="5">
        <v>160</v>
      </c>
      <c r="M84" s="5" t="s">
        <v>474</v>
      </c>
      <c r="N84" s="5" t="s">
        <v>642</v>
      </c>
      <c r="O84" s="5" t="s">
        <v>99</v>
      </c>
      <c r="P84" s="5" t="s">
        <v>99</v>
      </c>
    </row>
    <row r="85" spans="1:16" s="5" customFormat="1" x14ac:dyDescent="0.25">
      <c r="A85" s="5" t="s">
        <v>643</v>
      </c>
      <c r="B85" s="5" t="s">
        <v>31</v>
      </c>
      <c r="C85" s="5" t="s">
        <v>644</v>
      </c>
      <c r="D85" s="5" t="s">
        <v>645</v>
      </c>
      <c r="E85" s="5" t="s">
        <v>646</v>
      </c>
      <c r="F85" s="8" t="s">
        <v>9</v>
      </c>
      <c r="G85" s="5" t="s">
        <v>647</v>
      </c>
      <c r="H85" s="5" t="s">
        <v>99</v>
      </c>
      <c r="I85" s="7">
        <v>5</v>
      </c>
      <c r="J85" s="5" t="s">
        <v>103</v>
      </c>
      <c r="K85" s="5" t="s">
        <v>648</v>
      </c>
      <c r="L85" s="5">
        <v>45</v>
      </c>
      <c r="M85" s="5" t="s">
        <v>110</v>
      </c>
      <c r="N85" s="5" t="s">
        <v>649</v>
      </c>
      <c r="O85" s="5" t="s">
        <v>99</v>
      </c>
      <c r="P85" s="5" t="s">
        <v>99</v>
      </c>
    </row>
    <row r="86" spans="1:16" s="5" customFormat="1" x14ac:dyDescent="0.25">
      <c r="A86" s="5" t="s">
        <v>648</v>
      </c>
      <c r="B86" s="5" t="s">
        <v>31</v>
      </c>
      <c r="C86" s="5" t="s">
        <v>650</v>
      </c>
      <c r="D86" s="5" t="s">
        <v>651</v>
      </c>
      <c r="E86" s="5" t="s">
        <v>652</v>
      </c>
      <c r="F86" s="8" t="s">
        <v>9</v>
      </c>
      <c r="G86" s="5" t="s">
        <v>653</v>
      </c>
      <c r="H86" s="5" t="s">
        <v>99</v>
      </c>
      <c r="I86" s="9">
        <v>4</v>
      </c>
      <c r="J86" s="5" t="s">
        <v>103</v>
      </c>
      <c r="K86" s="5" t="s">
        <v>99</v>
      </c>
      <c r="L86" s="5">
        <v>80</v>
      </c>
      <c r="M86" s="5" t="s">
        <v>110</v>
      </c>
      <c r="N86" s="5" t="s">
        <v>247</v>
      </c>
      <c r="O86" s="5" t="s">
        <v>99</v>
      </c>
      <c r="P86" s="5" t="s">
        <v>99</v>
      </c>
    </row>
    <row r="87" spans="1:16" s="5" customFormat="1" x14ac:dyDescent="0.25">
      <c r="A87" s="5" t="s">
        <v>654</v>
      </c>
      <c r="B87" s="5" t="s">
        <v>31</v>
      </c>
      <c r="C87" s="5" t="s">
        <v>655</v>
      </c>
      <c r="D87" s="5" t="s">
        <v>656</v>
      </c>
      <c r="E87" s="5" t="s">
        <v>657</v>
      </c>
      <c r="F87" s="8" t="s">
        <v>9</v>
      </c>
      <c r="G87" s="5" t="s">
        <v>658</v>
      </c>
      <c r="H87" s="5" t="s">
        <v>99</v>
      </c>
      <c r="I87" s="7">
        <v>5</v>
      </c>
      <c r="J87" s="5" t="s">
        <v>659</v>
      </c>
      <c r="K87" s="5" t="s">
        <v>99</v>
      </c>
      <c r="L87" s="5">
        <v>35</v>
      </c>
      <c r="M87" s="5" t="s">
        <v>660</v>
      </c>
      <c r="N87" s="5" t="s">
        <v>661</v>
      </c>
      <c r="O87" s="5" t="s">
        <v>99</v>
      </c>
      <c r="P87" s="5" t="s">
        <v>99</v>
      </c>
    </row>
    <row r="88" spans="1:16" s="5" customFormat="1" x14ac:dyDescent="0.25">
      <c r="A88" s="5" t="s">
        <v>662</v>
      </c>
      <c r="B88" s="5" t="s">
        <v>31</v>
      </c>
      <c r="C88" s="5" t="s">
        <v>655</v>
      </c>
      <c r="D88" s="5" t="s">
        <v>663</v>
      </c>
      <c r="E88" s="5" t="s">
        <v>664</v>
      </c>
      <c r="F88" s="8" t="s">
        <v>9</v>
      </c>
      <c r="G88" s="5" t="s">
        <v>665</v>
      </c>
      <c r="H88" s="5" t="s">
        <v>99</v>
      </c>
      <c r="I88" s="9">
        <v>4</v>
      </c>
      <c r="J88" s="5" t="s">
        <v>103</v>
      </c>
      <c r="K88" s="5" t="s">
        <v>489</v>
      </c>
      <c r="L88" s="5">
        <v>45</v>
      </c>
      <c r="M88" s="5" t="s">
        <v>666</v>
      </c>
      <c r="N88" s="5" t="s">
        <v>667</v>
      </c>
      <c r="O88" s="5" t="s">
        <v>99</v>
      </c>
      <c r="P88" s="5" t="s">
        <v>99</v>
      </c>
    </row>
    <row r="89" spans="1:16" s="5" customFormat="1" x14ac:dyDescent="0.25">
      <c r="A89" s="5" t="s">
        <v>668</v>
      </c>
      <c r="B89" s="5" t="s">
        <v>31</v>
      </c>
      <c r="C89" s="5" t="s">
        <v>669</v>
      </c>
      <c r="D89" s="5" t="s">
        <v>670</v>
      </c>
      <c r="E89" s="5" t="s">
        <v>671</v>
      </c>
      <c r="F89" s="8" t="s">
        <v>9</v>
      </c>
      <c r="G89" s="5" t="s">
        <v>672</v>
      </c>
      <c r="H89" s="5" t="s">
        <v>99</v>
      </c>
      <c r="I89" s="9">
        <v>4</v>
      </c>
      <c r="J89" s="5" t="s">
        <v>103</v>
      </c>
      <c r="K89" s="5" t="s">
        <v>654</v>
      </c>
      <c r="L89" s="5">
        <v>50</v>
      </c>
      <c r="M89" s="5" t="s">
        <v>110</v>
      </c>
      <c r="N89" s="5" t="s">
        <v>99</v>
      </c>
      <c r="O89" s="5" t="s">
        <v>99</v>
      </c>
      <c r="P89" s="5" t="s">
        <v>99</v>
      </c>
    </row>
    <row r="90" spans="1:16" s="5" customFormat="1" x14ac:dyDescent="0.25">
      <c r="A90" s="5" t="s">
        <v>673</v>
      </c>
      <c r="B90" s="5" t="s">
        <v>31</v>
      </c>
      <c r="C90" s="5" t="s">
        <v>674</v>
      </c>
      <c r="D90" s="5" t="s">
        <v>675</v>
      </c>
      <c r="E90" s="5" t="s">
        <v>676</v>
      </c>
      <c r="F90" s="8" t="s">
        <v>9</v>
      </c>
      <c r="G90" s="5" t="s">
        <v>677</v>
      </c>
      <c r="H90" s="5" t="s">
        <v>99</v>
      </c>
      <c r="I90" s="7">
        <v>5</v>
      </c>
      <c r="J90" s="5" t="s">
        <v>124</v>
      </c>
      <c r="K90" s="5" t="s">
        <v>678</v>
      </c>
      <c r="L90" s="5">
        <v>35</v>
      </c>
      <c r="M90" s="5" t="s">
        <v>110</v>
      </c>
      <c r="N90" s="5" t="s">
        <v>99</v>
      </c>
      <c r="O90" s="5" t="s">
        <v>99</v>
      </c>
      <c r="P90" s="5" t="s">
        <v>99</v>
      </c>
    </row>
    <row r="91" spans="1:16" s="5" customFormat="1" x14ac:dyDescent="0.25">
      <c r="A91" s="5" t="s">
        <v>406</v>
      </c>
      <c r="B91" s="5" t="s">
        <v>31</v>
      </c>
      <c r="C91" s="5" t="s">
        <v>679</v>
      </c>
      <c r="D91" s="5" t="s">
        <v>680</v>
      </c>
      <c r="E91" s="5" t="s">
        <v>681</v>
      </c>
      <c r="F91" s="6" t="s">
        <v>10</v>
      </c>
      <c r="G91" s="5" t="s">
        <v>682</v>
      </c>
      <c r="H91" s="5" t="s">
        <v>683</v>
      </c>
      <c r="I91" s="9">
        <v>4</v>
      </c>
      <c r="J91" s="5" t="s">
        <v>124</v>
      </c>
      <c r="K91" s="5" t="s">
        <v>684</v>
      </c>
      <c r="L91" s="5">
        <v>42</v>
      </c>
      <c r="M91" s="5" t="s">
        <v>685</v>
      </c>
      <c r="N91" s="5" t="s">
        <v>686</v>
      </c>
      <c r="O91" s="5" t="s">
        <v>99</v>
      </c>
      <c r="P91" s="5" t="s">
        <v>99</v>
      </c>
    </row>
    <row r="92" spans="1:16" s="5" customFormat="1" x14ac:dyDescent="0.25">
      <c r="A92" s="5" t="s">
        <v>687</v>
      </c>
      <c r="B92" s="5" t="s">
        <v>31</v>
      </c>
      <c r="C92" s="5" t="s">
        <v>688</v>
      </c>
      <c r="D92" s="5" t="s">
        <v>689</v>
      </c>
      <c r="E92" s="5" t="s">
        <v>690</v>
      </c>
      <c r="F92" s="10" t="s">
        <v>12</v>
      </c>
      <c r="G92" s="5" t="s">
        <v>467</v>
      </c>
      <c r="H92" s="5" t="s">
        <v>99</v>
      </c>
      <c r="I92" s="5">
        <v>3</v>
      </c>
      <c r="J92" s="5" t="s">
        <v>139</v>
      </c>
      <c r="K92" s="5" t="s">
        <v>407</v>
      </c>
      <c r="L92" s="5">
        <v>100</v>
      </c>
      <c r="M92" s="5" t="s">
        <v>691</v>
      </c>
      <c r="N92" s="5" t="s">
        <v>692</v>
      </c>
      <c r="O92" s="5" t="s">
        <v>99</v>
      </c>
      <c r="P92" s="5" t="s">
        <v>99</v>
      </c>
    </row>
    <row r="93" spans="1:16" s="5" customFormat="1" x14ac:dyDescent="0.25">
      <c r="A93" s="5" t="s">
        <v>693</v>
      </c>
      <c r="B93" s="5" t="s">
        <v>31</v>
      </c>
      <c r="C93" s="5" t="s">
        <v>694</v>
      </c>
      <c r="D93" s="5" t="s">
        <v>695</v>
      </c>
      <c r="E93" s="5" t="s">
        <v>696</v>
      </c>
      <c r="F93" s="12" t="s">
        <v>14</v>
      </c>
      <c r="G93" s="5" t="s">
        <v>697</v>
      </c>
      <c r="H93" s="5" t="s">
        <v>99</v>
      </c>
      <c r="I93" s="5">
        <v>2</v>
      </c>
      <c r="J93" s="5" t="s">
        <v>139</v>
      </c>
      <c r="K93" s="5" t="s">
        <v>648</v>
      </c>
      <c r="L93" s="5">
        <v>150</v>
      </c>
      <c r="M93" s="5" t="s">
        <v>698</v>
      </c>
      <c r="N93" s="5" t="s">
        <v>699</v>
      </c>
      <c r="O93" s="5" t="s">
        <v>99</v>
      </c>
      <c r="P93" s="5" t="s">
        <v>99</v>
      </c>
    </row>
    <row r="94" spans="1:16" s="5" customFormat="1" x14ac:dyDescent="0.25">
      <c r="A94" s="5" t="s">
        <v>700</v>
      </c>
      <c r="B94" s="5" t="s">
        <v>31</v>
      </c>
      <c r="C94" s="5" t="s">
        <v>701</v>
      </c>
      <c r="D94" s="5" t="s">
        <v>702</v>
      </c>
      <c r="E94" s="5" t="s">
        <v>703</v>
      </c>
      <c r="F94" s="10" t="s">
        <v>12</v>
      </c>
      <c r="G94" s="5" t="s">
        <v>704</v>
      </c>
      <c r="H94" s="5" t="s">
        <v>99</v>
      </c>
      <c r="I94" s="5">
        <v>2</v>
      </c>
      <c r="J94" s="5" t="s">
        <v>124</v>
      </c>
      <c r="K94" s="5" t="s">
        <v>673</v>
      </c>
      <c r="L94" s="5">
        <v>120</v>
      </c>
      <c r="M94" s="5" t="s">
        <v>705</v>
      </c>
      <c r="N94" s="5" t="s">
        <v>706</v>
      </c>
      <c r="O94" s="5" t="s">
        <v>99</v>
      </c>
      <c r="P94" s="5" t="s">
        <v>99</v>
      </c>
    </row>
    <row r="95" spans="1:16" s="5" customFormat="1" x14ac:dyDescent="0.25">
      <c r="A95" s="5" t="s">
        <v>707</v>
      </c>
      <c r="B95" s="5" t="s">
        <v>31</v>
      </c>
      <c r="C95" s="5" t="s">
        <v>708</v>
      </c>
      <c r="D95" s="5" t="s">
        <v>709</v>
      </c>
      <c r="E95" s="5" t="s">
        <v>710</v>
      </c>
      <c r="F95" s="10" t="s">
        <v>12</v>
      </c>
      <c r="G95" s="5" t="s">
        <v>711</v>
      </c>
      <c r="H95" s="5" t="s">
        <v>99</v>
      </c>
      <c r="I95" s="5">
        <v>2</v>
      </c>
      <c r="J95" s="5" t="s">
        <v>124</v>
      </c>
      <c r="K95" s="5" t="s">
        <v>99</v>
      </c>
      <c r="L95" s="5">
        <v>140</v>
      </c>
      <c r="M95" s="5" t="s">
        <v>474</v>
      </c>
      <c r="N95" s="5" t="s">
        <v>712</v>
      </c>
      <c r="O95" s="5" t="s">
        <v>99</v>
      </c>
      <c r="P95" s="5" t="s">
        <v>99</v>
      </c>
    </row>
    <row r="96" spans="1:16" s="5" customFormat="1" x14ac:dyDescent="0.25">
      <c r="A96" s="5" t="s">
        <v>713</v>
      </c>
      <c r="B96" s="5" t="s">
        <v>32</v>
      </c>
      <c r="C96" s="5" t="s">
        <v>714</v>
      </c>
      <c r="D96" s="5" t="s">
        <v>715</v>
      </c>
      <c r="E96" s="5" t="s">
        <v>716</v>
      </c>
      <c r="F96" s="8" t="s">
        <v>9</v>
      </c>
      <c r="G96" s="5" t="s">
        <v>717</v>
      </c>
      <c r="H96" s="5" t="s">
        <v>99</v>
      </c>
      <c r="I96" s="9">
        <v>4</v>
      </c>
      <c r="J96" s="5" t="s">
        <v>103</v>
      </c>
      <c r="K96" s="5" t="s">
        <v>99</v>
      </c>
      <c r="L96" s="5">
        <v>50</v>
      </c>
      <c r="M96" s="5" t="s">
        <v>110</v>
      </c>
      <c r="N96" s="5" t="s">
        <v>718</v>
      </c>
      <c r="O96" s="5" t="s">
        <v>99</v>
      </c>
      <c r="P96" s="5" t="s">
        <v>99</v>
      </c>
    </row>
    <row r="97" spans="1:16" s="5" customFormat="1" x14ac:dyDescent="0.25">
      <c r="A97" s="5" t="s">
        <v>719</v>
      </c>
      <c r="B97" s="5" t="s">
        <v>32</v>
      </c>
      <c r="C97" s="5" t="s">
        <v>714</v>
      </c>
      <c r="D97" s="5" t="s">
        <v>720</v>
      </c>
      <c r="E97" s="5" t="s">
        <v>721</v>
      </c>
      <c r="F97" s="8" t="s">
        <v>9</v>
      </c>
      <c r="G97" s="5" t="s">
        <v>722</v>
      </c>
      <c r="H97" s="5" t="s">
        <v>99</v>
      </c>
      <c r="I97" s="5">
        <v>3</v>
      </c>
      <c r="J97" s="5" t="s">
        <v>103</v>
      </c>
      <c r="K97" s="5" t="s">
        <v>713</v>
      </c>
      <c r="L97" s="5">
        <v>70</v>
      </c>
      <c r="M97" s="5" t="s">
        <v>110</v>
      </c>
      <c r="N97" s="5" t="s">
        <v>99</v>
      </c>
      <c r="O97" s="5" t="s">
        <v>99</v>
      </c>
      <c r="P97" s="5" t="s">
        <v>99</v>
      </c>
    </row>
    <row r="98" spans="1:16" s="5" customFormat="1" x14ac:dyDescent="0.25">
      <c r="A98" s="5" t="s">
        <v>60</v>
      </c>
      <c r="B98" s="5" t="s">
        <v>32</v>
      </c>
      <c r="C98" s="5" t="s">
        <v>723</v>
      </c>
      <c r="D98" s="5" t="s">
        <v>61</v>
      </c>
      <c r="E98" s="5" t="s">
        <v>724</v>
      </c>
      <c r="F98" s="6" t="s">
        <v>10</v>
      </c>
      <c r="G98" s="5" t="s">
        <v>725</v>
      </c>
      <c r="H98" s="5" t="s">
        <v>726</v>
      </c>
      <c r="I98" s="7">
        <v>5</v>
      </c>
      <c r="J98" s="5" t="s">
        <v>124</v>
      </c>
      <c r="K98" s="5" t="s">
        <v>727</v>
      </c>
      <c r="L98" s="5">
        <v>24</v>
      </c>
      <c r="M98" s="5" t="s">
        <v>728</v>
      </c>
      <c r="N98" s="5" t="s">
        <v>729</v>
      </c>
      <c r="O98" s="5" t="s">
        <v>99</v>
      </c>
      <c r="P98" s="5" t="s">
        <v>99</v>
      </c>
    </row>
    <row r="99" spans="1:16" s="5" customFormat="1" x14ac:dyDescent="0.25">
      <c r="A99" s="5" t="s">
        <v>730</v>
      </c>
      <c r="B99" s="5" t="s">
        <v>32</v>
      </c>
      <c r="C99" s="5" t="s">
        <v>731</v>
      </c>
      <c r="D99" s="5" t="s">
        <v>732</v>
      </c>
      <c r="E99" s="5" t="s">
        <v>733</v>
      </c>
      <c r="F99" s="6" t="s">
        <v>10</v>
      </c>
      <c r="G99" s="5" t="s">
        <v>734</v>
      </c>
      <c r="H99" s="5" t="s">
        <v>735</v>
      </c>
      <c r="I99" s="5">
        <v>3</v>
      </c>
      <c r="J99" s="5" t="s">
        <v>124</v>
      </c>
      <c r="K99" s="5" t="s">
        <v>60</v>
      </c>
      <c r="L99" s="5">
        <v>80</v>
      </c>
      <c r="M99" s="5" t="s">
        <v>736</v>
      </c>
      <c r="N99" s="5" t="s">
        <v>317</v>
      </c>
      <c r="O99" s="5" t="s">
        <v>99</v>
      </c>
      <c r="P99" s="5" t="s">
        <v>99</v>
      </c>
    </row>
    <row r="100" spans="1:16" s="5" customFormat="1" x14ac:dyDescent="0.25">
      <c r="A100" s="5" t="s">
        <v>737</v>
      </c>
      <c r="B100" s="5" t="s">
        <v>32</v>
      </c>
      <c r="C100" s="5" t="s">
        <v>738</v>
      </c>
      <c r="D100" s="5" t="s">
        <v>739</v>
      </c>
      <c r="E100" s="5" t="s">
        <v>740</v>
      </c>
      <c r="F100" s="10" t="s">
        <v>12</v>
      </c>
      <c r="G100" s="5" t="s">
        <v>467</v>
      </c>
      <c r="H100" s="5" t="s">
        <v>99</v>
      </c>
      <c r="I100" s="5">
        <v>2</v>
      </c>
      <c r="J100" s="5" t="s">
        <v>103</v>
      </c>
      <c r="K100" s="5" t="s">
        <v>730</v>
      </c>
      <c r="L100" s="5">
        <v>135</v>
      </c>
      <c r="M100" s="5" t="s">
        <v>474</v>
      </c>
      <c r="N100" s="5" t="s">
        <v>475</v>
      </c>
      <c r="O100" s="5" t="s">
        <v>99</v>
      </c>
      <c r="P100" s="5" t="s">
        <v>99</v>
      </c>
    </row>
    <row r="101" spans="1:16" s="5" customFormat="1" x14ac:dyDescent="0.25">
      <c r="A101" s="5" t="s">
        <v>741</v>
      </c>
      <c r="B101" s="5" t="s">
        <v>32</v>
      </c>
      <c r="C101" s="5" t="s">
        <v>742</v>
      </c>
      <c r="D101" s="5" t="s">
        <v>743</v>
      </c>
      <c r="E101" s="5" t="s">
        <v>744</v>
      </c>
      <c r="F101" s="6" t="s">
        <v>10</v>
      </c>
      <c r="G101" s="5" t="s">
        <v>745</v>
      </c>
      <c r="H101" s="5" t="s">
        <v>99</v>
      </c>
      <c r="I101" s="5">
        <v>2</v>
      </c>
      <c r="J101" s="5" t="s">
        <v>103</v>
      </c>
      <c r="K101" s="5" t="s">
        <v>713</v>
      </c>
      <c r="L101" s="5">
        <v>125</v>
      </c>
      <c r="M101" s="5" t="s">
        <v>746</v>
      </c>
      <c r="N101" s="5" t="s">
        <v>317</v>
      </c>
      <c r="O101" s="5" t="s">
        <v>99</v>
      </c>
      <c r="P101" s="5" t="s">
        <v>99</v>
      </c>
    </row>
    <row r="102" spans="1:16" s="5" customFormat="1" x14ac:dyDescent="0.25">
      <c r="A102" s="5" t="s">
        <v>57</v>
      </c>
      <c r="B102" s="5" t="s">
        <v>33</v>
      </c>
      <c r="C102" s="5" t="s">
        <v>457</v>
      </c>
      <c r="D102" s="5" t="s">
        <v>58</v>
      </c>
      <c r="E102" s="5" t="s">
        <v>747</v>
      </c>
      <c r="F102" s="6" t="s">
        <v>10</v>
      </c>
      <c r="G102" s="5" t="s">
        <v>748</v>
      </c>
      <c r="H102" s="5" t="s">
        <v>749</v>
      </c>
      <c r="I102" s="7">
        <v>5</v>
      </c>
      <c r="J102" s="5" t="s">
        <v>139</v>
      </c>
      <c r="K102" s="5" t="s">
        <v>750</v>
      </c>
      <c r="L102" s="5">
        <v>20</v>
      </c>
      <c r="M102" s="5" t="s">
        <v>751</v>
      </c>
      <c r="N102" s="5" t="s">
        <v>752</v>
      </c>
      <c r="O102" s="5" t="s">
        <v>99</v>
      </c>
      <c r="P102" s="5" t="s">
        <v>99</v>
      </c>
    </row>
    <row r="103" spans="1:16" s="5" customFormat="1" x14ac:dyDescent="0.25">
      <c r="A103" s="5" t="s">
        <v>753</v>
      </c>
      <c r="B103" s="5" t="s">
        <v>33</v>
      </c>
      <c r="C103" s="5" t="s">
        <v>754</v>
      </c>
      <c r="D103" s="5" t="s">
        <v>755</v>
      </c>
      <c r="E103" s="5" t="s">
        <v>756</v>
      </c>
      <c r="F103" s="8" t="s">
        <v>9</v>
      </c>
      <c r="G103" s="5" t="s">
        <v>757</v>
      </c>
      <c r="H103" s="5" t="s">
        <v>99</v>
      </c>
      <c r="I103" s="9">
        <v>4</v>
      </c>
      <c r="J103" s="5" t="s">
        <v>103</v>
      </c>
      <c r="K103" s="5" t="s">
        <v>99</v>
      </c>
      <c r="L103" s="5">
        <v>75</v>
      </c>
      <c r="M103" s="5" t="s">
        <v>110</v>
      </c>
      <c r="N103" s="5" t="s">
        <v>758</v>
      </c>
      <c r="O103" s="5" t="s">
        <v>99</v>
      </c>
      <c r="P103" s="5" t="s">
        <v>99</v>
      </c>
    </row>
    <row r="104" spans="1:16" s="5" customFormat="1" x14ac:dyDescent="0.25">
      <c r="A104" s="5" t="s">
        <v>558</v>
      </c>
      <c r="B104" s="5" t="s">
        <v>33</v>
      </c>
      <c r="C104" s="5" t="s">
        <v>754</v>
      </c>
      <c r="D104" s="5" t="s">
        <v>759</v>
      </c>
      <c r="E104" s="5" t="s">
        <v>760</v>
      </c>
      <c r="F104" s="8" t="s">
        <v>9</v>
      </c>
      <c r="G104" s="5" t="s">
        <v>761</v>
      </c>
      <c r="H104" s="5" t="s">
        <v>99</v>
      </c>
      <c r="I104" s="9">
        <v>4</v>
      </c>
      <c r="J104" s="5" t="s">
        <v>124</v>
      </c>
      <c r="K104" s="5" t="s">
        <v>753</v>
      </c>
      <c r="L104" s="5">
        <v>55</v>
      </c>
      <c r="M104" s="5" t="s">
        <v>762</v>
      </c>
      <c r="N104" s="5" t="s">
        <v>99</v>
      </c>
      <c r="O104" s="5" t="s">
        <v>99</v>
      </c>
      <c r="P104" s="5" t="s">
        <v>99</v>
      </c>
    </row>
    <row r="105" spans="1:16" s="5" customFormat="1" x14ac:dyDescent="0.25">
      <c r="A105" s="5" t="s">
        <v>63</v>
      </c>
      <c r="B105" s="5" t="s">
        <v>33</v>
      </c>
      <c r="C105" s="5" t="s">
        <v>754</v>
      </c>
      <c r="D105" s="5" t="s">
        <v>64</v>
      </c>
      <c r="E105" s="5" t="s">
        <v>763</v>
      </c>
      <c r="F105" s="10" t="s">
        <v>12</v>
      </c>
      <c r="G105" s="5" t="s">
        <v>764</v>
      </c>
      <c r="H105" s="5" t="s">
        <v>99</v>
      </c>
      <c r="I105" s="7">
        <v>5</v>
      </c>
      <c r="J105" s="5" t="s">
        <v>139</v>
      </c>
      <c r="K105" s="5" t="s">
        <v>765</v>
      </c>
      <c r="L105" s="5">
        <v>52</v>
      </c>
      <c r="M105" s="5" t="s">
        <v>766</v>
      </c>
      <c r="N105" s="5" t="s">
        <v>767</v>
      </c>
      <c r="O105" s="5" t="s">
        <v>99</v>
      </c>
      <c r="P105" s="5" t="s">
        <v>99</v>
      </c>
    </row>
    <row r="106" spans="1:16" s="5" customFormat="1" x14ac:dyDescent="0.25">
      <c r="A106" s="5" t="s">
        <v>768</v>
      </c>
      <c r="B106" s="5" t="s">
        <v>33</v>
      </c>
      <c r="C106" s="5" t="s">
        <v>769</v>
      </c>
      <c r="D106" s="5" t="s">
        <v>770</v>
      </c>
      <c r="E106" s="5" t="s">
        <v>771</v>
      </c>
      <c r="F106" s="10" t="s">
        <v>12</v>
      </c>
      <c r="G106" s="5" t="s">
        <v>772</v>
      </c>
      <c r="H106" s="5" t="s">
        <v>99</v>
      </c>
      <c r="I106" s="9">
        <v>4</v>
      </c>
      <c r="J106" s="5" t="s">
        <v>139</v>
      </c>
      <c r="K106" s="5" t="s">
        <v>57</v>
      </c>
      <c r="L106" s="5">
        <v>53</v>
      </c>
      <c r="M106" s="5" t="s">
        <v>773</v>
      </c>
      <c r="N106" s="5" t="s">
        <v>774</v>
      </c>
      <c r="O106" s="5" t="s">
        <v>99</v>
      </c>
      <c r="P106" s="5" t="s">
        <v>99</v>
      </c>
    </row>
    <row r="107" spans="1:16" s="5" customFormat="1" x14ac:dyDescent="0.25">
      <c r="A107" s="5" t="s">
        <v>775</v>
      </c>
      <c r="B107" s="5" t="s">
        <v>33</v>
      </c>
      <c r="C107" s="5" t="s">
        <v>776</v>
      </c>
      <c r="D107" s="5" t="s">
        <v>777</v>
      </c>
      <c r="E107" s="5" t="s">
        <v>778</v>
      </c>
      <c r="F107" s="10" t="s">
        <v>12</v>
      </c>
      <c r="G107" s="5" t="s">
        <v>467</v>
      </c>
      <c r="H107" s="5" t="s">
        <v>99</v>
      </c>
      <c r="I107" s="9">
        <v>4</v>
      </c>
      <c r="J107" s="5" t="s">
        <v>139</v>
      </c>
      <c r="K107" s="5" t="s">
        <v>768</v>
      </c>
      <c r="L107" s="5">
        <v>54</v>
      </c>
      <c r="M107" s="5" t="s">
        <v>779</v>
      </c>
      <c r="N107" s="5" t="s">
        <v>780</v>
      </c>
      <c r="O107" s="5" t="s">
        <v>99</v>
      </c>
      <c r="P107" s="5" t="s">
        <v>99</v>
      </c>
    </row>
    <row r="108" spans="1:16" s="5" customFormat="1" x14ac:dyDescent="0.25">
      <c r="A108" s="5" t="s">
        <v>781</v>
      </c>
      <c r="B108" s="5" t="s">
        <v>33</v>
      </c>
      <c r="C108" s="5" t="s">
        <v>782</v>
      </c>
      <c r="D108" s="5" t="s">
        <v>783</v>
      </c>
      <c r="E108" s="5" t="s">
        <v>784</v>
      </c>
      <c r="F108" s="8" t="s">
        <v>9</v>
      </c>
      <c r="G108" s="5" t="s">
        <v>785</v>
      </c>
      <c r="H108" s="5" t="s">
        <v>99</v>
      </c>
      <c r="I108" s="5">
        <v>3</v>
      </c>
      <c r="J108" s="5" t="s">
        <v>103</v>
      </c>
      <c r="K108" s="5" t="s">
        <v>558</v>
      </c>
      <c r="L108" s="5">
        <v>85</v>
      </c>
      <c r="M108" s="5" t="s">
        <v>110</v>
      </c>
      <c r="N108" s="5" t="s">
        <v>99</v>
      </c>
      <c r="O108" s="5" t="s">
        <v>99</v>
      </c>
      <c r="P108" s="5" t="s">
        <v>99</v>
      </c>
    </row>
    <row r="109" spans="1:16" s="5" customFormat="1" x14ac:dyDescent="0.25">
      <c r="A109" s="5" t="s">
        <v>786</v>
      </c>
      <c r="B109" s="5" t="s">
        <v>33</v>
      </c>
      <c r="C109" s="5" t="s">
        <v>787</v>
      </c>
      <c r="D109" s="5" t="s">
        <v>788</v>
      </c>
      <c r="E109" s="5" t="s">
        <v>789</v>
      </c>
      <c r="F109" s="6" t="s">
        <v>10</v>
      </c>
      <c r="G109" s="5" t="s">
        <v>790</v>
      </c>
      <c r="H109" s="5" t="s">
        <v>791</v>
      </c>
      <c r="I109" s="5">
        <v>3</v>
      </c>
      <c r="J109" s="5" t="s">
        <v>124</v>
      </c>
      <c r="K109" s="5" t="s">
        <v>57</v>
      </c>
      <c r="L109" s="5">
        <v>90</v>
      </c>
      <c r="M109" s="5" t="s">
        <v>746</v>
      </c>
      <c r="N109" s="5" t="s">
        <v>309</v>
      </c>
      <c r="O109" s="5" t="s">
        <v>99</v>
      </c>
      <c r="P109" s="5" t="s">
        <v>99</v>
      </c>
    </row>
    <row r="110" spans="1:16" s="5" customFormat="1" x14ac:dyDescent="0.25">
      <c r="A110" s="5" t="s">
        <v>792</v>
      </c>
      <c r="B110" s="5" t="s">
        <v>33</v>
      </c>
      <c r="C110" s="5" t="s">
        <v>793</v>
      </c>
      <c r="D110" s="5" t="s">
        <v>794</v>
      </c>
      <c r="E110" s="5" t="s">
        <v>795</v>
      </c>
      <c r="F110" s="10" t="s">
        <v>12</v>
      </c>
      <c r="G110" s="5" t="s">
        <v>467</v>
      </c>
      <c r="H110" s="5" t="s">
        <v>99</v>
      </c>
      <c r="I110" s="5">
        <v>2</v>
      </c>
      <c r="J110" s="5" t="s">
        <v>124</v>
      </c>
      <c r="K110" s="5" t="s">
        <v>768</v>
      </c>
      <c r="L110" s="5">
        <v>130</v>
      </c>
      <c r="M110" s="5" t="s">
        <v>796</v>
      </c>
      <c r="N110" s="5" t="s">
        <v>797</v>
      </c>
      <c r="O110" s="5" t="s">
        <v>99</v>
      </c>
      <c r="P110" s="5" t="s">
        <v>99</v>
      </c>
    </row>
    <row r="111" spans="1:16" s="5" customFormat="1" x14ac:dyDescent="0.25">
      <c r="A111" s="5" t="s">
        <v>798</v>
      </c>
      <c r="B111" s="5" t="s">
        <v>33</v>
      </c>
      <c r="C111" s="5" t="s">
        <v>799</v>
      </c>
      <c r="D111" s="5" t="s">
        <v>800</v>
      </c>
      <c r="E111" s="5" t="s">
        <v>801</v>
      </c>
      <c r="F111" s="12" t="s">
        <v>14</v>
      </c>
      <c r="G111" s="5" t="s">
        <v>802</v>
      </c>
      <c r="H111" s="5" t="s">
        <v>803</v>
      </c>
      <c r="I111" s="5">
        <v>3</v>
      </c>
      <c r="J111" s="5" t="s">
        <v>804</v>
      </c>
      <c r="K111" s="5" t="s">
        <v>546</v>
      </c>
      <c r="L111" s="5">
        <v>170</v>
      </c>
      <c r="M111" s="5" t="s">
        <v>805</v>
      </c>
      <c r="N111" s="5" t="s">
        <v>806</v>
      </c>
      <c r="O111" s="5" t="s">
        <v>99</v>
      </c>
      <c r="P111" s="5" t="s">
        <v>99</v>
      </c>
    </row>
    <row r="112" spans="1:16" s="5" customFormat="1" x14ac:dyDescent="0.25">
      <c r="A112" s="5" t="s">
        <v>807</v>
      </c>
      <c r="B112" s="5" t="s">
        <v>34</v>
      </c>
      <c r="C112" s="5" t="s">
        <v>808</v>
      </c>
      <c r="D112" s="5" t="s">
        <v>809</v>
      </c>
      <c r="E112" s="5" t="s">
        <v>810</v>
      </c>
      <c r="F112" s="12" t="s">
        <v>14</v>
      </c>
      <c r="G112" s="5" t="s">
        <v>811</v>
      </c>
      <c r="H112" s="5" t="s">
        <v>812</v>
      </c>
      <c r="I112" s="5">
        <v>1</v>
      </c>
      <c r="J112" s="5" t="s">
        <v>813</v>
      </c>
      <c r="K112" s="5" t="s">
        <v>99</v>
      </c>
      <c r="L112" s="5">
        <v>180</v>
      </c>
      <c r="M112" s="5" t="s">
        <v>612</v>
      </c>
      <c r="N112" s="5" t="s">
        <v>814</v>
      </c>
      <c r="O112" s="5" t="s">
        <v>99</v>
      </c>
      <c r="P112" s="5" t="s">
        <v>99</v>
      </c>
    </row>
    <row r="113" spans="1:16" s="5" customFormat="1" x14ac:dyDescent="0.25">
      <c r="A113" s="5" t="s">
        <v>815</v>
      </c>
      <c r="B113" s="5" t="s">
        <v>34</v>
      </c>
      <c r="C113" s="5" t="s">
        <v>816</v>
      </c>
      <c r="D113" s="5" t="s">
        <v>817</v>
      </c>
      <c r="E113" s="5" t="s">
        <v>818</v>
      </c>
      <c r="F113" s="12" t="s">
        <v>14</v>
      </c>
      <c r="G113" s="5" t="s">
        <v>467</v>
      </c>
      <c r="H113" s="5" t="s">
        <v>99</v>
      </c>
      <c r="I113" s="5">
        <v>1</v>
      </c>
      <c r="J113" s="5" t="s">
        <v>813</v>
      </c>
      <c r="K113" s="5" t="s">
        <v>807</v>
      </c>
      <c r="L113" s="5">
        <v>185</v>
      </c>
      <c r="M113" s="5" t="s">
        <v>819</v>
      </c>
      <c r="N113" s="5" t="s">
        <v>99</v>
      </c>
      <c r="O113" s="5" t="s">
        <v>99</v>
      </c>
      <c r="P113" s="5" t="s">
        <v>99</v>
      </c>
    </row>
    <row r="114" spans="1:16" s="5" customFormat="1" x14ac:dyDescent="0.25">
      <c r="A114" s="5" t="s">
        <v>820</v>
      </c>
      <c r="B114" s="5" t="s">
        <v>35</v>
      </c>
      <c r="C114" s="5" t="s">
        <v>821</v>
      </c>
      <c r="D114" s="5" t="s">
        <v>822</v>
      </c>
      <c r="E114" s="5" t="s">
        <v>823</v>
      </c>
      <c r="F114" s="12" t="s">
        <v>14</v>
      </c>
      <c r="G114" s="5" t="s">
        <v>467</v>
      </c>
      <c r="H114" s="5" t="s">
        <v>99</v>
      </c>
      <c r="I114" s="5">
        <v>1</v>
      </c>
      <c r="J114" s="5" t="s">
        <v>813</v>
      </c>
      <c r="K114" s="5" t="s">
        <v>99</v>
      </c>
      <c r="L114" s="5">
        <v>190</v>
      </c>
      <c r="M114" s="5" t="s">
        <v>819</v>
      </c>
      <c r="N114" s="5" t="s">
        <v>99</v>
      </c>
      <c r="O114" s="5" t="s">
        <v>99</v>
      </c>
      <c r="P114" s="5" t="s">
        <v>99</v>
      </c>
    </row>
    <row r="115" spans="1:16" s="5" customFormat="1" x14ac:dyDescent="0.25">
      <c r="A115" s="5" t="s">
        <v>824</v>
      </c>
      <c r="B115" s="5" t="s">
        <v>36</v>
      </c>
      <c r="C115" s="5" t="s">
        <v>825</v>
      </c>
      <c r="D115" s="5" t="s">
        <v>826</v>
      </c>
      <c r="E115" s="5" t="s">
        <v>827</v>
      </c>
      <c r="F115" s="6" t="s">
        <v>10</v>
      </c>
      <c r="G115" s="5" t="s">
        <v>828</v>
      </c>
      <c r="H115" s="5" t="s">
        <v>829</v>
      </c>
      <c r="I115" s="5">
        <v>3</v>
      </c>
      <c r="J115" s="5" t="s">
        <v>103</v>
      </c>
      <c r="K115" s="5" t="s">
        <v>231</v>
      </c>
      <c r="L115" s="5">
        <v>95</v>
      </c>
      <c r="M115" s="5" t="s">
        <v>830</v>
      </c>
      <c r="N115" s="5" t="s">
        <v>99</v>
      </c>
      <c r="O115" s="5" t="s">
        <v>99</v>
      </c>
      <c r="P115" s="5" t="s">
        <v>99</v>
      </c>
    </row>
    <row r="116" spans="1:16" s="5" customFormat="1" x14ac:dyDescent="0.25">
      <c r="A116" s="5" t="s">
        <v>831</v>
      </c>
      <c r="B116" s="5" t="s">
        <v>36</v>
      </c>
      <c r="C116" s="5" t="s">
        <v>832</v>
      </c>
      <c r="D116" s="5" t="s">
        <v>833</v>
      </c>
      <c r="E116" s="5" t="s">
        <v>834</v>
      </c>
      <c r="F116" s="10" t="s">
        <v>12</v>
      </c>
      <c r="G116" s="5" t="s">
        <v>835</v>
      </c>
      <c r="H116" s="5" t="s">
        <v>99</v>
      </c>
      <c r="I116" s="5">
        <v>3</v>
      </c>
      <c r="J116" s="5" t="s">
        <v>103</v>
      </c>
      <c r="K116" s="5" t="s">
        <v>99</v>
      </c>
      <c r="L116" s="5">
        <v>100</v>
      </c>
      <c r="M116" s="5" t="s">
        <v>836</v>
      </c>
      <c r="N116" s="5" t="s">
        <v>837</v>
      </c>
      <c r="O116" s="5" t="s">
        <v>99</v>
      </c>
      <c r="P116" s="5" t="s">
        <v>99</v>
      </c>
    </row>
    <row r="117" spans="1:16" s="5" customFormat="1" x14ac:dyDescent="0.25">
      <c r="A117" s="5" t="s">
        <v>838</v>
      </c>
      <c r="B117" s="5" t="s">
        <v>36</v>
      </c>
      <c r="C117" s="5" t="s">
        <v>127</v>
      </c>
      <c r="D117" s="5" t="s">
        <v>839</v>
      </c>
      <c r="E117" s="5" t="s">
        <v>840</v>
      </c>
      <c r="F117" s="10" t="s">
        <v>12</v>
      </c>
      <c r="G117" s="5" t="s">
        <v>841</v>
      </c>
      <c r="H117" s="5" t="s">
        <v>99</v>
      </c>
      <c r="I117" s="9">
        <v>4</v>
      </c>
      <c r="J117" s="5" t="s">
        <v>139</v>
      </c>
      <c r="K117" s="5" t="s">
        <v>842</v>
      </c>
      <c r="L117" s="5">
        <v>8</v>
      </c>
      <c r="M117" s="5" t="s">
        <v>843</v>
      </c>
      <c r="N117" s="5" t="s">
        <v>126</v>
      </c>
      <c r="O117" s="5" t="s">
        <v>99</v>
      </c>
      <c r="P117" s="5" t="s">
        <v>99</v>
      </c>
    </row>
    <row r="118" spans="1:16" s="5" customFormat="1" x14ac:dyDescent="0.25">
      <c r="A118" s="5" t="s">
        <v>844</v>
      </c>
      <c r="B118" s="5" t="s">
        <v>37</v>
      </c>
      <c r="C118" s="5" t="s">
        <v>845</v>
      </c>
      <c r="D118" s="5" t="s">
        <v>846</v>
      </c>
      <c r="E118" s="5" t="s">
        <v>847</v>
      </c>
      <c r="F118" s="8" t="s">
        <v>9</v>
      </c>
      <c r="G118" s="5" t="s">
        <v>848</v>
      </c>
      <c r="H118" s="5" t="s">
        <v>99</v>
      </c>
      <c r="I118" s="7">
        <v>5</v>
      </c>
      <c r="J118" s="5" t="s">
        <v>103</v>
      </c>
      <c r="K118" s="5" t="s">
        <v>99</v>
      </c>
      <c r="L118" s="5">
        <v>5</v>
      </c>
      <c r="M118" s="5" t="s">
        <v>849</v>
      </c>
      <c r="N118" s="5" t="s">
        <v>850</v>
      </c>
      <c r="O118" s="5" t="s">
        <v>99</v>
      </c>
      <c r="P118" s="5" t="s">
        <v>99</v>
      </c>
    </row>
    <row r="119" spans="1:16" s="5" customFormat="1" x14ac:dyDescent="0.25">
      <c r="A119" s="5" t="s">
        <v>851</v>
      </c>
      <c r="B119" s="5" t="s">
        <v>37</v>
      </c>
      <c r="C119" s="5" t="s">
        <v>852</v>
      </c>
      <c r="D119" s="5" t="s">
        <v>853</v>
      </c>
      <c r="E119" s="5" t="s">
        <v>854</v>
      </c>
      <c r="F119" s="8" t="s">
        <v>9</v>
      </c>
      <c r="G119" s="5" t="s">
        <v>855</v>
      </c>
      <c r="H119" s="5" t="s">
        <v>856</v>
      </c>
      <c r="I119" s="7">
        <v>5</v>
      </c>
      <c r="J119" s="5" t="s">
        <v>124</v>
      </c>
      <c r="K119" s="5" t="s">
        <v>99</v>
      </c>
      <c r="L119" s="5">
        <v>10</v>
      </c>
      <c r="M119" s="5" t="s">
        <v>857</v>
      </c>
      <c r="N119" s="5" t="s">
        <v>99</v>
      </c>
      <c r="O119" s="5" t="s">
        <v>99</v>
      </c>
      <c r="P119" s="5" t="s">
        <v>99</v>
      </c>
    </row>
    <row r="120" spans="1:16" s="5" customFormat="1" x14ac:dyDescent="0.25">
      <c r="A120" s="5" t="s">
        <v>858</v>
      </c>
      <c r="B120" s="5" t="s">
        <v>37</v>
      </c>
      <c r="C120" s="5" t="s">
        <v>859</v>
      </c>
      <c r="D120" s="5" t="s">
        <v>860</v>
      </c>
      <c r="E120" s="5" t="s">
        <v>861</v>
      </c>
      <c r="F120" s="6" t="s">
        <v>10</v>
      </c>
      <c r="G120" s="5" t="s">
        <v>862</v>
      </c>
      <c r="H120" s="5" t="s">
        <v>863</v>
      </c>
      <c r="I120" s="9">
        <v>4</v>
      </c>
      <c r="J120" s="5" t="s">
        <v>124</v>
      </c>
      <c r="K120" s="5" t="s">
        <v>99</v>
      </c>
      <c r="L120" s="5">
        <v>35</v>
      </c>
      <c r="M120" s="5" t="s">
        <v>864</v>
      </c>
      <c r="N120" s="5" t="s">
        <v>865</v>
      </c>
      <c r="O120" s="5" t="s">
        <v>99</v>
      </c>
      <c r="P120" s="5" t="s">
        <v>99</v>
      </c>
    </row>
    <row r="121" spans="1:16" s="5" customFormat="1" x14ac:dyDescent="0.25">
      <c r="A121" s="5" t="s">
        <v>45</v>
      </c>
      <c r="B121" s="5" t="s">
        <v>37</v>
      </c>
      <c r="C121" s="5" t="s">
        <v>866</v>
      </c>
      <c r="D121" s="5" t="s">
        <v>46</v>
      </c>
      <c r="E121" s="5" t="s">
        <v>867</v>
      </c>
      <c r="F121" s="10" t="s">
        <v>12</v>
      </c>
      <c r="G121" s="5" t="s">
        <v>868</v>
      </c>
      <c r="H121" s="5" t="s">
        <v>869</v>
      </c>
      <c r="I121" s="7">
        <v>5</v>
      </c>
      <c r="J121" s="5" t="s">
        <v>139</v>
      </c>
      <c r="K121" s="5" t="s">
        <v>99</v>
      </c>
      <c r="L121" s="5">
        <v>3</v>
      </c>
      <c r="M121" s="5" t="s">
        <v>870</v>
      </c>
      <c r="N121" s="5" t="s">
        <v>871</v>
      </c>
      <c r="O121" s="5" t="s">
        <v>99</v>
      </c>
      <c r="P121" s="5" t="s">
        <v>99</v>
      </c>
    </row>
    <row r="122" spans="1:16" s="5" customFormat="1" x14ac:dyDescent="0.25">
      <c r="A122" s="5" t="s">
        <v>48</v>
      </c>
      <c r="B122" s="5" t="s">
        <v>37</v>
      </c>
      <c r="C122" s="5" t="s">
        <v>872</v>
      </c>
      <c r="D122" s="5" t="s">
        <v>49</v>
      </c>
      <c r="E122" s="5" t="s">
        <v>873</v>
      </c>
      <c r="F122" s="6" t="s">
        <v>10</v>
      </c>
      <c r="G122" s="5" t="s">
        <v>874</v>
      </c>
      <c r="H122" s="5" t="s">
        <v>875</v>
      </c>
      <c r="I122" s="7">
        <v>5</v>
      </c>
      <c r="J122" s="5" t="s">
        <v>139</v>
      </c>
      <c r="K122" s="5" t="s">
        <v>99</v>
      </c>
      <c r="L122" s="5">
        <v>4</v>
      </c>
      <c r="M122" s="5" t="s">
        <v>876</v>
      </c>
      <c r="N122" s="5" t="s">
        <v>877</v>
      </c>
      <c r="O122" s="5" t="s">
        <v>99</v>
      </c>
      <c r="P122" s="5" t="s">
        <v>99</v>
      </c>
    </row>
    <row r="123" spans="1:16" s="5" customFormat="1" x14ac:dyDescent="0.25">
      <c r="A123" s="5" t="s">
        <v>878</v>
      </c>
      <c r="B123" s="5" t="s">
        <v>37</v>
      </c>
      <c r="C123" s="5" t="s">
        <v>879</v>
      </c>
      <c r="D123" s="5" t="s">
        <v>880</v>
      </c>
      <c r="E123" s="5" t="s">
        <v>881</v>
      </c>
      <c r="F123" s="11" t="s">
        <v>13</v>
      </c>
      <c r="G123" s="5" t="s">
        <v>882</v>
      </c>
      <c r="H123" s="5" t="s">
        <v>99</v>
      </c>
      <c r="I123" s="5">
        <v>3</v>
      </c>
      <c r="J123" s="5" t="s">
        <v>124</v>
      </c>
      <c r="K123" s="5" t="s">
        <v>99</v>
      </c>
      <c r="L123" s="5">
        <v>65</v>
      </c>
      <c r="M123" s="5" t="s">
        <v>883</v>
      </c>
      <c r="N123" s="5" t="s">
        <v>884</v>
      </c>
      <c r="O123" s="5" t="s">
        <v>99</v>
      </c>
      <c r="P123" s="5" t="s">
        <v>99</v>
      </c>
    </row>
    <row r="124" spans="1:16" s="5" customFormat="1" x14ac:dyDescent="0.25">
      <c r="A124" s="5" t="s">
        <v>885</v>
      </c>
      <c r="B124" s="5" t="s">
        <v>37</v>
      </c>
      <c r="C124" s="5" t="s">
        <v>886</v>
      </c>
      <c r="D124" s="5" t="s">
        <v>887</v>
      </c>
      <c r="E124" s="5" t="s">
        <v>888</v>
      </c>
      <c r="F124" s="11" t="s">
        <v>13</v>
      </c>
      <c r="G124" s="5" t="s">
        <v>889</v>
      </c>
      <c r="H124" s="5" t="s">
        <v>890</v>
      </c>
      <c r="I124" s="9">
        <v>4</v>
      </c>
      <c r="J124" s="5" t="s">
        <v>891</v>
      </c>
      <c r="K124" s="5" t="s">
        <v>99</v>
      </c>
      <c r="L124" s="5">
        <v>40</v>
      </c>
      <c r="M124" s="5" t="s">
        <v>892</v>
      </c>
      <c r="N124" s="5" t="s">
        <v>317</v>
      </c>
      <c r="O124" s="5" t="s">
        <v>99</v>
      </c>
      <c r="P124" s="5" t="s">
        <v>99</v>
      </c>
    </row>
    <row r="125" spans="1:16" s="5" customFormat="1" x14ac:dyDescent="0.25">
      <c r="A125" s="5" t="s">
        <v>893</v>
      </c>
      <c r="B125" s="5" t="s">
        <v>37</v>
      </c>
      <c r="C125" s="5" t="s">
        <v>894</v>
      </c>
      <c r="D125" s="5" t="s">
        <v>895</v>
      </c>
      <c r="E125" s="5" t="s">
        <v>896</v>
      </c>
      <c r="F125" s="6" t="s">
        <v>10</v>
      </c>
      <c r="G125" s="5" t="s">
        <v>897</v>
      </c>
      <c r="H125" s="5" t="s">
        <v>898</v>
      </c>
      <c r="I125" s="5">
        <v>2</v>
      </c>
      <c r="J125" s="5" t="s">
        <v>124</v>
      </c>
      <c r="K125" s="5" t="s">
        <v>99</v>
      </c>
      <c r="L125" s="5">
        <v>125</v>
      </c>
      <c r="M125" s="5" t="s">
        <v>899</v>
      </c>
      <c r="N125" s="5" t="s">
        <v>900</v>
      </c>
      <c r="O125" s="5" t="s">
        <v>99</v>
      </c>
      <c r="P125" s="5" t="s">
        <v>99</v>
      </c>
    </row>
    <row r="126" spans="1:16" s="5" customFormat="1" x14ac:dyDescent="0.25">
      <c r="A126" s="5" t="s">
        <v>901</v>
      </c>
      <c r="B126" s="5" t="s">
        <v>37</v>
      </c>
      <c r="C126" s="5" t="s">
        <v>902</v>
      </c>
      <c r="D126" s="5" t="s">
        <v>903</v>
      </c>
      <c r="E126" s="5" t="s">
        <v>904</v>
      </c>
      <c r="F126" s="6" t="s">
        <v>10</v>
      </c>
      <c r="G126" s="5" t="s">
        <v>905</v>
      </c>
      <c r="H126" s="5" t="s">
        <v>906</v>
      </c>
      <c r="I126" s="5">
        <v>2</v>
      </c>
      <c r="J126" s="5" t="s">
        <v>103</v>
      </c>
      <c r="K126" s="5" t="s">
        <v>99</v>
      </c>
      <c r="L126" s="5">
        <v>110</v>
      </c>
      <c r="M126" s="5" t="s">
        <v>907</v>
      </c>
      <c r="N126" s="5" t="s">
        <v>99</v>
      </c>
      <c r="O126" s="5" t="s">
        <v>99</v>
      </c>
      <c r="P126" s="5" t="s">
        <v>99</v>
      </c>
    </row>
    <row r="127" spans="1:16" s="5" customFormat="1" x14ac:dyDescent="0.25">
      <c r="A127" s="5" t="s">
        <v>908</v>
      </c>
      <c r="B127" s="5" t="s">
        <v>37</v>
      </c>
      <c r="C127" s="5" t="s">
        <v>909</v>
      </c>
      <c r="D127" s="5" t="s">
        <v>910</v>
      </c>
      <c r="E127" s="5" t="s">
        <v>911</v>
      </c>
      <c r="F127" s="6" t="s">
        <v>10</v>
      </c>
      <c r="G127" s="5" t="s">
        <v>912</v>
      </c>
      <c r="H127" s="5" t="s">
        <v>913</v>
      </c>
      <c r="I127" s="5">
        <v>2</v>
      </c>
      <c r="J127" s="5" t="s">
        <v>103</v>
      </c>
      <c r="K127" s="5" t="s">
        <v>167</v>
      </c>
      <c r="L127" s="5">
        <v>115</v>
      </c>
      <c r="M127" s="5" t="s">
        <v>914</v>
      </c>
      <c r="N127" s="5" t="s">
        <v>99</v>
      </c>
      <c r="O127" s="5" t="s">
        <v>99</v>
      </c>
      <c r="P127" s="5" t="s">
        <v>99</v>
      </c>
    </row>
    <row r="128" spans="1:16" s="5" customFormat="1" x14ac:dyDescent="0.25">
      <c r="A128" s="5" t="s">
        <v>915</v>
      </c>
      <c r="B128" s="5" t="s">
        <v>25</v>
      </c>
      <c r="C128" s="5" t="s">
        <v>916</v>
      </c>
      <c r="D128" s="5" t="s">
        <v>917</v>
      </c>
      <c r="E128" s="5" t="s">
        <v>918</v>
      </c>
      <c r="F128" s="6" t="s">
        <v>10</v>
      </c>
      <c r="G128" s="5" t="s">
        <v>919</v>
      </c>
      <c r="H128" s="5" t="s">
        <v>920</v>
      </c>
      <c r="I128" s="5">
        <v>3</v>
      </c>
      <c r="J128" s="5" t="s">
        <v>103</v>
      </c>
      <c r="K128" s="5" t="s">
        <v>662</v>
      </c>
      <c r="L128" s="5">
        <v>75</v>
      </c>
      <c r="M128" s="5" t="s">
        <v>921</v>
      </c>
      <c r="N128" s="5" t="s">
        <v>922</v>
      </c>
      <c r="O128" s="5" t="s">
        <v>99</v>
      </c>
      <c r="P128" s="5" t="s">
        <v>99</v>
      </c>
    </row>
    <row r="129" spans="1:16" s="5" customFormat="1" x14ac:dyDescent="0.25">
      <c r="A129" s="5" t="s">
        <v>923</v>
      </c>
      <c r="B129" s="5" t="s">
        <v>29</v>
      </c>
      <c r="C129" s="5" t="s">
        <v>924</v>
      </c>
      <c r="D129" s="5" t="s">
        <v>925</v>
      </c>
      <c r="E129" s="5" t="s">
        <v>926</v>
      </c>
      <c r="F129" s="8" t="s">
        <v>9</v>
      </c>
      <c r="G129" s="5" t="s">
        <v>927</v>
      </c>
      <c r="H129" s="5" t="s">
        <v>99</v>
      </c>
      <c r="I129" s="7">
        <v>5</v>
      </c>
      <c r="J129" s="5" t="s">
        <v>103</v>
      </c>
      <c r="K129" s="5" t="s">
        <v>489</v>
      </c>
      <c r="L129" s="5">
        <v>40</v>
      </c>
      <c r="M129" s="5" t="s">
        <v>110</v>
      </c>
      <c r="N129" s="5" t="s">
        <v>928</v>
      </c>
      <c r="O129" s="5" t="s">
        <v>99</v>
      </c>
      <c r="P129" s="5" t="s">
        <v>99</v>
      </c>
    </row>
  </sheetData>
  <autoFilter ref="A1:P129"/>
  <dataValidations count="4">
    <dataValidation type="list" allowBlank="1" sqref="O10:O129">
      <formula1>"Hemen yap,Ertele,Kapsam dışı,İncele,Karar bekliyor"</formula1>
    </dataValidation>
    <dataValidation type="list" allowBlank="1" sqref="O2:O129">
      <formula1>"Hemen yap,Ertele,Kapsam dışı,İncele,Karar bekliyor"</formula1>
    </dataValidation>
    <dataValidation type="list" allowBlank="1" sqref="P10:P129">
      <formula1>"Bekliyor,Yapılacak,Devam ediyor,Tamamlandı,İptal"</formula1>
    </dataValidation>
    <dataValidation type="list" allowBlank="1" sqref="P2:P129">
      <formula1>"Bekliyor,Yapılacak,Devam ediyor,Tamamlandı,İptal"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2" customWidth="1"/>
    <col min="3" max="3" width="28" customWidth="1"/>
    <col min="4" max="4" width="10" customWidth="1"/>
    <col min="5" max="5" width="48" customWidth="1"/>
    <col min="6" max="6" width="22" customWidth="1"/>
    <col min="7" max="7" width="28" customWidth="1"/>
  </cols>
  <sheetData>
    <row r="1" spans="1:7" s="13" customFormat="1" x14ac:dyDescent="0.25">
      <c r="A1" s="13" t="s">
        <v>76</v>
      </c>
      <c r="B1" s="13" t="s">
        <v>929</v>
      </c>
      <c r="C1" s="13" t="s">
        <v>80</v>
      </c>
      <c r="D1" s="13" t="s">
        <v>930</v>
      </c>
      <c r="E1" s="13" t="s">
        <v>931</v>
      </c>
      <c r="F1" s="13" t="s">
        <v>932</v>
      </c>
      <c r="G1" s="13" t="s">
        <v>933</v>
      </c>
    </row>
    <row r="2" spans="1:7" s="5" customFormat="1" x14ac:dyDescent="0.25">
      <c r="A2" s="5" t="s">
        <v>934</v>
      </c>
      <c r="B2" s="5" t="s">
        <v>935</v>
      </c>
      <c r="C2" s="10" t="s">
        <v>12</v>
      </c>
      <c r="D2" s="5">
        <v>5</v>
      </c>
      <c r="E2" s="5" t="s">
        <v>936</v>
      </c>
      <c r="F2" s="5" t="s">
        <v>126</v>
      </c>
      <c r="G2" s="5" t="s">
        <v>937</v>
      </c>
    </row>
    <row r="3" spans="1:7" s="5" customFormat="1" x14ac:dyDescent="0.25">
      <c r="A3" s="5" t="s">
        <v>938</v>
      </c>
      <c r="B3" s="5" t="s">
        <v>939</v>
      </c>
      <c r="C3" s="10" t="s">
        <v>12</v>
      </c>
      <c r="D3" s="5">
        <v>5</v>
      </c>
      <c r="E3" s="5" t="s">
        <v>940</v>
      </c>
      <c r="F3" s="5" t="s">
        <v>871</v>
      </c>
      <c r="G3" s="5" t="s">
        <v>941</v>
      </c>
    </row>
    <row r="4" spans="1:7" s="5" customFormat="1" x14ac:dyDescent="0.25">
      <c r="A4" s="5" t="s">
        <v>942</v>
      </c>
      <c r="B4" s="5" t="s">
        <v>943</v>
      </c>
      <c r="C4" s="8" t="s">
        <v>9</v>
      </c>
      <c r="D4" s="5">
        <v>5</v>
      </c>
      <c r="E4" s="5" t="s">
        <v>944</v>
      </c>
      <c r="F4" s="5" t="s">
        <v>945</v>
      </c>
      <c r="G4" s="5" t="s">
        <v>946</v>
      </c>
    </row>
    <row r="5" spans="1:7" s="5" customFormat="1" x14ac:dyDescent="0.25">
      <c r="A5" s="5" t="s">
        <v>947</v>
      </c>
      <c r="B5" s="5" t="s">
        <v>948</v>
      </c>
      <c r="C5" s="6" t="s">
        <v>10</v>
      </c>
      <c r="D5" s="5">
        <v>5</v>
      </c>
      <c r="E5" s="5" t="s">
        <v>949</v>
      </c>
      <c r="F5" s="5" t="s">
        <v>99</v>
      </c>
      <c r="G5" s="5" t="s">
        <v>950</v>
      </c>
    </row>
    <row r="6" spans="1:7" s="5" customFormat="1" x14ac:dyDescent="0.25">
      <c r="A6" s="5" t="s">
        <v>951</v>
      </c>
      <c r="B6" s="5" t="s">
        <v>952</v>
      </c>
      <c r="C6" s="6" t="s">
        <v>10</v>
      </c>
      <c r="D6" s="5">
        <v>4</v>
      </c>
      <c r="E6" s="5" t="s">
        <v>953</v>
      </c>
      <c r="F6" s="5" t="s">
        <v>954</v>
      </c>
      <c r="G6" s="5" t="s">
        <v>955</v>
      </c>
    </row>
    <row r="7" spans="1:7" s="5" customFormat="1" x14ac:dyDescent="0.25">
      <c r="A7" s="5" t="s">
        <v>956</v>
      </c>
      <c r="B7" s="5" t="s">
        <v>957</v>
      </c>
      <c r="C7" s="11" t="s">
        <v>13</v>
      </c>
      <c r="D7" s="5">
        <v>4</v>
      </c>
      <c r="E7" s="5" t="s">
        <v>958</v>
      </c>
      <c r="F7" s="5" t="s">
        <v>959</v>
      </c>
      <c r="G7" s="5" t="s">
        <v>194</v>
      </c>
    </row>
    <row r="8" spans="1:7" s="5" customFormat="1" x14ac:dyDescent="0.25">
      <c r="A8" s="5" t="s">
        <v>960</v>
      </c>
      <c r="B8" s="5" t="s">
        <v>961</v>
      </c>
      <c r="C8" s="6" t="s">
        <v>10</v>
      </c>
      <c r="D8" s="5">
        <v>3</v>
      </c>
      <c r="E8" s="5" t="s">
        <v>962</v>
      </c>
      <c r="F8" s="5" t="s">
        <v>963</v>
      </c>
      <c r="G8" s="5" t="s">
        <v>964</v>
      </c>
    </row>
    <row r="9" spans="1:7" s="5" customFormat="1" x14ac:dyDescent="0.25">
      <c r="A9" s="5" t="s">
        <v>965</v>
      </c>
      <c r="B9" s="5" t="s">
        <v>966</v>
      </c>
      <c r="C9" s="11" t="s">
        <v>13</v>
      </c>
      <c r="D9" s="5">
        <v>3</v>
      </c>
      <c r="E9" s="5" t="s">
        <v>967</v>
      </c>
      <c r="F9" s="5" t="s">
        <v>99</v>
      </c>
      <c r="G9" s="5" t="s">
        <v>968</v>
      </c>
    </row>
    <row r="10" spans="1:7" s="5" customFormat="1" x14ac:dyDescent="0.25">
      <c r="A10" s="5" t="s">
        <v>969</v>
      </c>
      <c r="B10" s="5" t="s">
        <v>970</v>
      </c>
      <c r="C10" s="6" t="s">
        <v>10</v>
      </c>
      <c r="D10" s="5">
        <v>5</v>
      </c>
      <c r="E10" s="5" t="s">
        <v>971</v>
      </c>
      <c r="F10" s="5" t="s">
        <v>972</v>
      </c>
      <c r="G10" s="5" t="s">
        <v>973</v>
      </c>
    </row>
    <row r="11" spans="1:7" s="5" customFormat="1" x14ac:dyDescent="0.25">
      <c r="A11" s="5" t="s">
        <v>974</v>
      </c>
      <c r="B11" s="5" t="s">
        <v>975</v>
      </c>
      <c r="C11" s="6" t="s">
        <v>10</v>
      </c>
      <c r="D11" s="5">
        <v>4</v>
      </c>
      <c r="E11" s="5" t="s">
        <v>976</v>
      </c>
      <c r="F11" s="5" t="s">
        <v>449</v>
      </c>
      <c r="G11" s="5" t="s">
        <v>977</v>
      </c>
    </row>
    <row r="12" spans="1:7" s="5" customFormat="1" x14ac:dyDescent="0.25">
      <c r="A12" s="5" t="s">
        <v>978</v>
      </c>
      <c r="B12" s="5" t="s">
        <v>979</v>
      </c>
      <c r="C12" s="6" t="s">
        <v>10</v>
      </c>
      <c r="D12" s="5">
        <v>3</v>
      </c>
      <c r="E12" s="5" t="s">
        <v>980</v>
      </c>
      <c r="F12" s="5" t="s">
        <v>981</v>
      </c>
      <c r="G12" s="5" t="s">
        <v>982</v>
      </c>
    </row>
    <row r="13" spans="1:7" s="5" customFormat="1" x14ac:dyDescent="0.25">
      <c r="A13" s="5" t="s">
        <v>983</v>
      </c>
      <c r="B13" s="5" t="s">
        <v>984</v>
      </c>
      <c r="C13" s="6" t="s">
        <v>10</v>
      </c>
      <c r="D13" s="5">
        <v>2</v>
      </c>
      <c r="E13" s="5" t="s">
        <v>985</v>
      </c>
      <c r="F13" s="5" t="s">
        <v>99</v>
      </c>
      <c r="G13" s="5" t="s">
        <v>986</v>
      </c>
    </row>
    <row r="14" spans="1:7" s="5" customFormat="1" x14ac:dyDescent="0.25">
      <c r="A14" s="5" t="s">
        <v>987</v>
      </c>
      <c r="B14" s="5" t="s">
        <v>988</v>
      </c>
      <c r="C14" s="6" t="s">
        <v>10</v>
      </c>
      <c r="D14" s="5">
        <v>4</v>
      </c>
      <c r="E14" s="5" t="s">
        <v>989</v>
      </c>
      <c r="F14" s="5" t="s">
        <v>159</v>
      </c>
      <c r="G14" s="5" t="s">
        <v>990</v>
      </c>
    </row>
    <row r="15" spans="1:7" s="5" customFormat="1" x14ac:dyDescent="0.25">
      <c r="A15" s="5" t="s">
        <v>991</v>
      </c>
      <c r="B15" s="5" t="s">
        <v>992</v>
      </c>
      <c r="C15" s="6" t="s">
        <v>10</v>
      </c>
      <c r="D15" s="5">
        <v>2</v>
      </c>
      <c r="E15" s="5" t="s">
        <v>993</v>
      </c>
      <c r="F15" s="5" t="s">
        <v>99</v>
      </c>
      <c r="G15" s="5" t="s">
        <v>994</v>
      </c>
    </row>
    <row r="16" spans="1:7" s="5" customFormat="1" x14ac:dyDescent="0.25">
      <c r="A16" s="5" t="s">
        <v>995</v>
      </c>
      <c r="B16" s="5" t="s">
        <v>996</v>
      </c>
      <c r="C16" s="11" t="s">
        <v>13</v>
      </c>
      <c r="D16" s="5">
        <v>5</v>
      </c>
      <c r="E16" s="5" t="s">
        <v>997</v>
      </c>
      <c r="F16" s="5" t="s">
        <v>998</v>
      </c>
      <c r="G16" s="5" t="s">
        <v>999</v>
      </c>
    </row>
  </sheetData>
  <autoFilter ref="A1:G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0" customWidth="1"/>
    <col min="3" max="3" width="12" customWidth="1"/>
    <col min="4" max="5" width="28" customWidth="1"/>
    <col min="6" max="6" width="40" customWidth="1"/>
    <col min="7" max="7" width="18" customWidth="1"/>
  </cols>
  <sheetData>
    <row r="1" spans="1:7" s="14" customFormat="1" x14ac:dyDescent="0.25">
      <c r="A1" s="14" t="s">
        <v>1000</v>
      </c>
      <c r="B1" s="14" t="s">
        <v>1001</v>
      </c>
      <c r="C1" s="14" t="s">
        <v>1002</v>
      </c>
      <c r="D1" s="14" t="s">
        <v>1003</v>
      </c>
      <c r="E1" s="14" t="s">
        <v>1004</v>
      </c>
      <c r="F1" s="14" t="s">
        <v>931</v>
      </c>
      <c r="G1" s="14" t="s">
        <v>1005</v>
      </c>
    </row>
    <row r="2" spans="1:7" s="5" customFormat="1" x14ac:dyDescent="0.25">
      <c r="A2" s="5" t="s">
        <v>1006</v>
      </c>
      <c r="B2" s="5" t="s">
        <v>954</v>
      </c>
      <c r="C2" s="5">
        <v>25</v>
      </c>
      <c r="D2" s="5" t="s">
        <v>1007</v>
      </c>
      <c r="E2" s="8" t="s">
        <v>9</v>
      </c>
      <c r="F2" s="5" t="s">
        <v>1008</v>
      </c>
      <c r="G2" s="5" t="s">
        <v>186</v>
      </c>
    </row>
    <row r="3" spans="1:7" s="5" customFormat="1" x14ac:dyDescent="0.25">
      <c r="A3" s="5" t="s">
        <v>1006</v>
      </c>
      <c r="B3" s="5" t="s">
        <v>1009</v>
      </c>
      <c r="C3" s="5">
        <v>25</v>
      </c>
      <c r="D3" s="5" t="s">
        <v>1007</v>
      </c>
      <c r="E3" s="8" t="s">
        <v>9</v>
      </c>
      <c r="F3" s="5" t="s">
        <v>1010</v>
      </c>
      <c r="G3" s="5" t="s">
        <v>180</v>
      </c>
    </row>
    <row r="4" spans="1:7" s="5" customFormat="1" x14ac:dyDescent="0.25">
      <c r="A4" s="5" t="s">
        <v>1006</v>
      </c>
      <c r="B4" s="5" t="s">
        <v>1011</v>
      </c>
      <c r="C4" s="5">
        <v>20</v>
      </c>
      <c r="D4" s="5" t="s">
        <v>1012</v>
      </c>
      <c r="E4" s="10" t="s">
        <v>12</v>
      </c>
      <c r="F4" s="5" t="s">
        <v>1013</v>
      </c>
      <c r="G4" s="5" t="s">
        <v>42</v>
      </c>
    </row>
    <row r="5" spans="1:7" s="5" customFormat="1" x14ac:dyDescent="0.25">
      <c r="A5" s="5" t="s">
        <v>1006</v>
      </c>
      <c r="B5" s="5" t="s">
        <v>1014</v>
      </c>
      <c r="C5" s="5">
        <v>25</v>
      </c>
      <c r="D5" s="5" t="s">
        <v>1007</v>
      </c>
      <c r="E5" s="8" t="s">
        <v>9</v>
      </c>
      <c r="F5" s="5" t="s">
        <v>1015</v>
      </c>
      <c r="G5" s="5" t="s">
        <v>502</v>
      </c>
    </row>
    <row r="6" spans="1:7" s="5" customFormat="1" x14ac:dyDescent="0.25">
      <c r="A6" s="5" t="s">
        <v>1006</v>
      </c>
      <c r="B6" s="5" t="s">
        <v>1016</v>
      </c>
      <c r="C6" s="5">
        <v>15</v>
      </c>
      <c r="D6" s="5" t="s">
        <v>1012</v>
      </c>
      <c r="E6" s="10" t="s">
        <v>12</v>
      </c>
      <c r="F6" s="5" t="s">
        <v>1017</v>
      </c>
      <c r="G6" s="5" t="s">
        <v>66</v>
      </c>
    </row>
    <row r="7" spans="1:7" s="5" customFormat="1" x14ac:dyDescent="0.25">
      <c r="A7" s="5" t="s">
        <v>1006</v>
      </c>
      <c r="B7" s="5" t="s">
        <v>1018</v>
      </c>
      <c r="C7" s="5">
        <v>15</v>
      </c>
      <c r="D7" s="5" t="s">
        <v>1019</v>
      </c>
      <c r="E7" s="6" t="s">
        <v>10</v>
      </c>
      <c r="F7" s="5" t="s">
        <v>1020</v>
      </c>
      <c r="G7" s="5" t="s">
        <v>406</v>
      </c>
    </row>
    <row r="8" spans="1:7" s="5" customFormat="1" x14ac:dyDescent="0.25">
      <c r="A8" s="5" t="s">
        <v>1006</v>
      </c>
      <c r="B8" s="5" t="s">
        <v>1021</v>
      </c>
      <c r="C8" s="5">
        <v>12</v>
      </c>
      <c r="D8" s="5" t="s">
        <v>1019</v>
      </c>
      <c r="E8" s="8" t="s">
        <v>9</v>
      </c>
      <c r="F8" s="5" t="s">
        <v>1022</v>
      </c>
      <c r="G8" s="5" t="s">
        <v>350</v>
      </c>
    </row>
    <row r="9" spans="1:7" s="5" customFormat="1" x14ac:dyDescent="0.25">
      <c r="A9" s="5" t="s">
        <v>1006</v>
      </c>
      <c r="B9" s="5" t="s">
        <v>1023</v>
      </c>
      <c r="C9" s="5">
        <v>16</v>
      </c>
      <c r="D9" s="5" t="s">
        <v>1012</v>
      </c>
      <c r="E9" s="6" t="s">
        <v>10</v>
      </c>
      <c r="F9" s="5" t="s">
        <v>1024</v>
      </c>
      <c r="G9" s="5" t="s">
        <v>377</v>
      </c>
    </row>
    <row r="10" spans="1:7" s="5" customFormat="1" x14ac:dyDescent="0.25">
      <c r="A10" s="5" t="s">
        <v>1006</v>
      </c>
      <c r="B10" s="5" t="s">
        <v>1025</v>
      </c>
      <c r="C10" s="5">
        <v>20</v>
      </c>
      <c r="D10" s="5" t="s">
        <v>1012</v>
      </c>
      <c r="E10" s="6" t="s">
        <v>10</v>
      </c>
      <c r="F10" s="5" t="s">
        <v>1026</v>
      </c>
      <c r="G10" s="5" t="s">
        <v>385</v>
      </c>
    </row>
    <row r="11" spans="1:7" s="5" customFormat="1" x14ac:dyDescent="0.25">
      <c r="A11" s="5" t="s">
        <v>1006</v>
      </c>
      <c r="B11" s="5" t="s">
        <v>1027</v>
      </c>
      <c r="C11" s="5">
        <v>4</v>
      </c>
      <c r="D11" s="5" t="s">
        <v>1028</v>
      </c>
      <c r="E11" s="12" t="s">
        <v>14</v>
      </c>
      <c r="F11" s="5" t="s">
        <v>1029</v>
      </c>
      <c r="G11" s="5" t="s">
        <v>99</v>
      </c>
    </row>
    <row r="12" spans="1:7" s="5" customFormat="1" x14ac:dyDescent="0.25">
      <c r="A12" s="5" t="s">
        <v>1006</v>
      </c>
      <c r="B12" s="5" t="s">
        <v>1030</v>
      </c>
      <c r="C12" s="5">
        <v>16</v>
      </c>
      <c r="D12" s="5" t="s">
        <v>1031</v>
      </c>
      <c r="E12" s="6" t="s">
        <v>10</v>
      </c>
      <c r="F12" s="5" t="s">
        <v>1032</v>
      </c>
      <c r="G12" s="5" t="s">
        <v>530</v>
      </c>
    </row>
    <row r="13" spans="1:7" s="5" customFormat="1" x14ac:dyDescent="0.25">
      <c r="A13" s="5" t="s">
        <v>1006</v>
      </c>
      <c r="B13" s="5" t="s">
        <v>1033</v>
      </c>
      <c r="C13" s="5">
        <v>20</v>
      </c>
      <c r="D13" s="5" t="s">
        <v>1034</v>
      </c>
      <c r="E13" s="8" t="s">
        <v>9</v>
      </c>
      <c r="F13" s="5" t="s">
        <v>1035</v>
      </c>
      <c r="G13" s="5" t="s">
        <v>662</v>
      </c>
    </row>
    <row r="14" spans="1:7" s="5" customFormat="1" x14ac:dyDescent="0.25">
      <c r="A14" s="5" t="s">
        <v>1006</v>
      </c>
      <c r="B14" s="5" t="s">
        <v>1036</v>
      </c>
      <c r="C14" s="5">
        <v>16</v>
      </c>
      <c r="D14" s="5" t="s">
        <v>1012</v>
      </c>
      <c r="E14" s="10" t="s">
        <v>12</v>
      </c>
      <c r="F14" s="5" t="s">
        <v>1037</v>
      </c>
      <c r="G14" s="5" t="s">
        <v>456</v>
      </c>
    </row>
    <row r="15" spans="1:7" s="5" customFormat="1" x14ac:dyDescent="0.25">
      <c r="A15" s="5" t="s">
        <v>1006</v>
      </c>
      <c r="B15" s="5" t="s">
        <v>1038</v>
      </c>
      <c r="C15" s="5">
        <v>16</v>
      </c>
      <c r="D15" s="5" t="s">
        <v>1012</v>
      </c>
      <c r="E15" s="6" t="s">
        <v>10</v>
      </c>
      <c r="F15" s="5" t="s">
        <v>1039</v>
      </c>
      <c r="G15" s="5" t="s">
        <v>54</v>
      </c>
    </row>
    <row r="16" spans="1:7" s="5" customFormat="1" x14ac:dyDescent="0.25">
      <c r="A16" s="5" t="s">
        <v>1006</v>
      </c>
      <c r="B16" s="5" t="s">
        <v>963</v>
      </c>
      <c r="C16" s="5">
        <v>15</v>
      </c>
      <c r="D16" s="5" t="s">
        <v>1040</v>
      </c>
      <c r="E16" s="6" t="s">
        <v>10</v>
      </c>
      <c r="F16" s="5" t="s">
        <v>1041</v>
      </c>
      <c r="G16" s="5" t="s">
        <v>173</v>
      </c>
    </row>
    <row r="17" spans="1:7" s="5" customFormat="1" x14ac:dyDescent="0.25">
      <c r="A17" s="5" t="s">
        <v>1006</v>
      </c>
      <c r="B17" s="5" t="s">
        <v>1042</v>
      </c>
      <c r="C17" s="5">
        <v>15</v>
      </c>
      <c r="D17" s="5" t="s">
        <v>1012</v>
      </c>
      <c r="E17" s="10" t="s">
        <v>12</v>
      </c>
      <c r="F17" s="5" t="s">
        <v>1043</v>
      </c>
      <c r="G17" s="5" t="s">
        <v>63</v>
      </c>
    </row>
    <row r="18" spans="1:7" s="5" customFormat="1" x14ac:dyDescent="0.25">
      <c r="A18" s="5" t="s">
        <v>1006</v>
      </c>
      <c r="B18" s="5" t="s">
        <v>1044</v>
      </c>
      <c r="C18" s="5">
        <v>12</v>
      </c>
      <c r="D18" s="5" t="s">
        <v>1012</v>
      </c>
      <c r="E18" s="10" t="s">
        <v>12</v>
      </c>
      <c r="F18" s="5" t="s">
        <v>1045</v>
      </c>
      <c r="G18" s="5" t="s">
        <v>768</v>
      </c>
    </row>
    <row r="19" spans="1:7" s="5" customFormat="1" x14ac:dyDescent="0.25">
      <c r="A19" s="5" t="s">
        <v>1006</v>
      </c>
      <c r="B19" s="5" t="s">
        <v>1046</v>
      </c>
      <c r="C19" s="5">
        <v>16</v>
      </c>
      <c r="D19" s="5" t="s">
        <v>1012</v>
      </c>
      <c r="E19" s="10" t="s">
        <v>12</v>
      </c>
      <c r="F19" s="5" t="s">
        <v>1047</v>
      </c>
      <c r="G19" s="5" t="s">
        <v>546</v>
      </c>
    </row>
    <row r="20" spans="1:7" s="5" customFormat="1" x14ac:dyDescent="0.25">
      <c r="A20" s="5" t="s">
        <v>1006</v>
      </c>
      <c r="B20" s="5" t="s">
        <v>1048</v>
      </c>
      <c r="C20" s="5">
        <v>3</v>
      </c>
      <c r="D20" s="5" t="s">
        <v>1012</v>
      </c>
      <c r="E20" s="12" t="s">
        <v>14</v>
      </c>
      <c r="F20" s="5" t="s">
        <v>1049</v>
      </c>
      <c r="G20" s="5" t="s">
        <v>798</v>
      </c>
    </row>
    <row r="21" spans="1:7" s="5" customFormat="1" x14ac:dyDescent="0.25">
      <c r="A21" s="5" t="s">
        <v>1006</v>
      </c>
      <c r="B21" s="5" t="s">
        <v>126</v>
      </c>
      <c r="C21" s="5">
        <v>12</v>
      </c>
      <c r="D21" s="5" t="s">
        <v>1012</v>
      </c>
      <c r="E21" s="10" t="s">
        <v>12</v>
      </c>
      <c r="F21" s="5" t="s">
        <v>1050</v>
      </c>
      <c r="G21" s="5" t="s">
        <v>39</v>
      </c>
    </row>
    <row r="22" spans="1:7" s="5" customFormat="1" x14ac:dyDescent="0.25">
      <c r="A22" s="5" t="s">
        <v>1006</v>
      </c>
      <c r="B22" s="5" t="s">
        <v>1051</v>
      </c>
      <c r="C22" s="5">
        <v>12</v>
      </c>
      <c r="D22" s="5" t="s">
        <v>1012</v>
      </c>
      <c r="E22" s="10" t="s">
        <v>12</v>
      </c>
      <c r="F22" s="5" t="s">
        <v>1052</v>
      </c>
      <c r="G22" s="5" t="s">
        <v>193</v>
      </c>
    </row>
    <row r="23" spans="1:7" s="5" customFormat="1" x14ac:dyDescent="0.25">
      <c r="A23" s="5" t="s">
        <v>1006</v>
      </c>
      <c r="B23" s="5" t="s">
        <v>1053</v>
      </c>
      <c r="C23" s="5">
        <v>8</v>
      </c>
      <c r="D23" s="5" t="s">
        <v>1012</v>
      </c>
      <c r="E23" s="10" t="s">
        <v>12</v>
      </c>
      <c r="F23" s="5" t="s">
        <v>1054</v>
      </c>
      <c r="G23" s="5" t="s">
        <v>687</v>
      </c>
    </row>
    <row r="24" spans="1:7" s="5" customFormat="1" x14ac:dyDescent="0.25">
      <c r="A24" s="5" t="s">
        <v>1006</v>
      </c>
      <c r="B24" s="5" t="s">
        <v>1055</v>
      </c>
      <c r="C24" s="5">
        <v>6</v>
      </c>
      <c r="D24" s="5" t="s">
        <v>1012</v>
      </c>
      <c r="E24" s="12" t="s">
        <v>14</v>
      </c>
      <c r="F24" s="5" t="s">
        <v>1056</v>
      </c>
      <c r="G24" s="5" t="s">
        <v>693</v>
      </c>
    </row>
    <row r="25" spans="1:7" s="5" customFormat="1" x14ac:dyDescent="0.25">
      <c r="A25" s="5" t="s">
        <v>1006</v>
      </c>
      <c r="B25" s="5" t="s">
        <v>1057</v>
      </c>
      <c r="C25" s="5">
        <v>6</v>
      </c>
      <c r="D25" s="5" t="s">
        <v>1012</v>
      </c>
      <c r="E25" s="12" t="s">
        <v>14</v>
      </c>
      <c r="F25" s="5" t="s">
        <v>1058</v>
      </c>
      <c r="G25" s="5" t="s">
        <v>637</v>
      </c>
    </row>
    <row r="26" spans="1:7" s="5" customFormat="1" x14ac:dyDescent="0.25">
      <c r="A26" s="5" t="s">
        <v>1006</v>
      </c>
      <c r="B26" s="5" t="s">
        <v>1059</v>
      </c>
      <c r="C26" s="5">
        <v>9</v>
      </c>
      <c r="D26" s="5" t="s">
        <v>1060</v>
      </c>
      <c r="E26" s="6" t="s">
        <v>10</v>
      </c>
      <c r="F26" s="5" t="s">
        <v>1061</v>
      </c>
      <c r="G26" s="5" t="s">
        <v>1062</v>
      </c>
    </row>
    <row r="27" spans="1:7" s="5" customFormat="1" x14ac:dyDescent="0.25">
      <c r="A27" s="5" t="s">
        <v>1006</v>
      </c>
      <c r="B27" s="5" t="s">
        <v>1063</v>
      </c>
      <c r="C27" s="5">
        <v>9</v>
      </c>
      <c r="D27" s="5" t="s">
        <v>1012</v>
      </c>
      <c r="E27" s="6" t="s">
        <v>10</v>
      </c>
      <c r="F27" s="5" t="s">
        <v>1064</v>
      </c>
      <c r="G27" s="5" t="s">
        <v>393</v>
      </c>
    </row>
    <row r="28" spans="1:7" s="5" customFormat="1" x14ac:dyDescent="0.25">
      <c r="A28" s="5" t="s">
        <v>1006</v>
      </c>
      <c r="B28" s="5" t="s">
        <v>1065</v>
      </c>
      <c r="C28" s="5">
        <v>16</v>
      </c>
      <c r="D28" s="5" t="s">
        <v>1012</v>
      </c>
      <c r="E28" s="10" t="s">
        <v>12</v>
      </c>
      <c r="F28" s="5" t="s">
        <v>1066</v>
      </c>
      <c r="G28" s="5" t="s">
        <v>538</v>
      </c>
    </row>
    <row r="29" spans="1:7" s="5" customFormat="1" x14ac:dyDescent="0.25">
      <c r="A29" s="5" t="s">
        <v>1006</v>
      </c>
      <c r="B29" s="5" t="s">
        <v>483</v>
      </c>
      <c r="C29" s="5">
        <v>12</v>
      </c>
      <c r="D29" s="5" t="s">
        <v>1012</v>
      </c>
      <c r="E29" s="10" t="s">
        <v>12</v>
      </c>
      <c r="F29" s="5" t="s">
        <v>1067</v>
      </c>
      <c r="G29" s="5" t="s">
        <v>521</v>
      </c>
    </row>
    <row r="30" spans="1:7" s="5" customFormat="1" x14ac:dyDescent="0.25">
      <c r="A30" s="5" t="s">
        <v>1006</v>
      </c>
      <c r="B30" s="5" t="s">
        <v>1068</v>
      </c>
      <c r="C30" s="5">
        <v>12</v>
      </c>
      <c r="D30" s="5" t="s">
        <v>1012</v>
      </c>
      <c r="E30" s="6" t="s">
        <v>10</v>
      </c>
      <c r="F30" s="5" t="s">
        <v>1069</v>
      </c>
      <c r="G30" s="5" t="s">
        <v>553</v>
      </c>
    </row>
    <row r="31" spans="1:7" s="5" customFormat="1" x14ac:dyDescent="0.25">
      <c r="A31" s="5" t="s">
        <v>1006</v>
      </c>
      <c r="B31" s="5" t="s">
        <v>1070</v>
      </c>
      <c r="C31" s="5">
        <v>6</v>
      </c>
      <c r="D31" s="5" t="s">
        <v>1071</v>
      </c>
      <c r="E31" s="6" t="s">
        <v>10</v>
      </c>
      <c r="F31" s="5" t="s">
        <v>1072</v>
      </c>
      <c r="G31" s="5" t="s">
        <v>60</v>
      </c>
    </row>
    <row r="32" spans="1:7" s="5" customFormat="1" x14ac:dyDescent="0.25">
      <c r="A32" s="5" t="s">
        <v>1006</v>
      </c>
      <c r="B32" s="5" t="s">
        <v>1073</v>
      </c>
      <c r="C32" s="5">
        <v>20</v>
      </c>
      <c r="D32" s="5" t="s">
        <v>1007</v>
      </c>
      <c r="E32" s="6" t="s">
        <v>10</v>
      </c>
      <c r="F32" s="5" t="s">
        <v>1074</v>
      </c>
      <c r="G32" s="5" t="s">
        <v>915</v>
      </c>
    </row>
    <row r="33" spans="1:7" s="5" customFormat="1" x14ac:dyDescent="0.25">
      <c r="A33" s="5" t="s">
        <v>1006</v>
      </c>
      <c r="B33" s="5" t="s">
        <v>1075</v>
      </c>
      <c r="C33" s="5">
        <v>20</v>
      </c>
      <c r="D33" s="5" t="s">
        <v>1076</v>
      </c>
      <c r="E33" s="8" t="s">
        <v>9</v>
      </c>
      <c r="F33" s="5" t="s">
        <v>1077</v>
      </c>
      <c r="G33" s="5" t="s">
        <v>923</v>
      </c>
    </row>
    <row r="34" spans="1:7" s="5" customFormat="1" x14ac:dyDescent="0.25">
      <c r="A34" s="5" t="s">
        <v>1006</v>
      </c>
      <c r="B34" s="5" t="s">
        <v>837</v>
      </c>
      <c r="C34" s="5">
        <v>12</v>
      </c>
      <c r="D34" s="5" t="s">
        <v>1012</v>
      </c>
      <c r="E34" s="10" t="s">
        <v>12</v>
      </c>
      <c r="F34" s="5" t="s">
        <v>1078</v>
      </c>
      <c r="G34" s="5" t="s">
        <v>209</v>
      </c>
    </row>
    <row r="35" spans="1:7" s="5" customFormat="1" x14ac:dyDescent="0.25">
      <c r="A35" s="5" t="s">
        <v>1006</v>
      </c>
      <c r="B35" s="5" t="s">
        <v>1079</v>
      </c>
      <c r="C35" s="5">
        <v>8</v>
      </c>
      <c r="D35" s="5" t="s">
        <v>1080</v>
      </c>
      <c r="E35" s="6" t="s">
        <v>10</v>
      </c>
      <c r="F35" s="5" t="s">
        <v>1081</v>
      </c>
      <c r="G35" s="5" t="s">
        <v>201</v>
      </c>
    </row>
    <row r="36" spans="1:7" s="5" customFormat="1" x14ac:dyDescent="0.25">
      <c r="A36" s="5" t="s">
        <v>1006</v>
      </c>
      <c r="B36" s="5" t="s">
        <v>1082</v>
      </c>
      <c r="C36" s="5">
        <v>6</v>
      </c>
      <c r="D36" s="5" t="s">
        <v>1012</v>
      </c>
      <c r="E36" s="6" t="s">
        <v>10</v>
      </c>
      <c r="F36" s="5" t="s">
        <v>1083</v>
      </c>
      <c r="G36" s="5" t="s">
        <v>283</v>
      </c>
    </row>
    <row r="37" spans="1:7" s="5" customFormat="1" x14ac:dyDescent="0.25">
      <c r="A37" s="5" t="s">
        <v>1006</v>
      </c>
      <c r="B37" s="5" t="s">
        <v>1084</v>
      </c>
      <c r="C37" s="5">
        <v>6</v>
      </c>
      <c r="D37" s="5" t="s">
        <v>1012</v>
      </c>
      <c r="E37" s="10" t="s">
        <v>12</v>
      </c>
      <c r="F37" s="5" t="s">
        <v>1085</v>
      </c>
      <c r="G37" s="5" t="s">
        <v>290</v>
      </c>
    </row>
    <row r="38" spans="1:7" s="5" customFormat="1" x14ac:dyDescent="0.25">
      <c r="A38" s="5" t="s">
        <v>1006</v>
      </c>
      <c r="B38" s="5" t="s">
        <v>1086</v>
      </c>
      <c r="C38" s="5">
        <v>20</v>
      </c>
      <c r="D38" s="5" t="s">
        <v>1012</v>
      </c>
      <c r="E38" s="11" t="s">
        <v>13</v>
      </c>
      <c r="F38" s="5" t="s">
        <v>1087</v>
      </c>
      <c r="G38" s="5" t="s">
        <v>514</v>
      </c>
    </row>
    <row r="39" spans="1:7" s="5" customFormat="1" x14ac:dyDescent="0.25">
      <c r="A39" s="5" t="s">
        <v>1006</v>
      </c>
      <c r="B39" s="5" t="s">
        <v>1088</v>
      </c>
      <c r="C39" s="5">
        <v>20</v>
      </c>
      <c r="D39" s="5" t="s">
        <v>1007</v>
      </c>
      <c r="E39" s="8" t="s">
        <v>9</v>
      </c>
      <c r="F39" s="5" t="s">
        <v>1089</v>
      </c>
      <c r="G39" s="5" t="s">
        <v>364</v>
      </c>
    </row>
    <row r="40" spans="1:7" s="5" customFormat="1" x14ac:dyDescent="0.25">
      <c r="A40" s="5" t="s">
        <v>1006</v>
      </c>
      <c r="B40" s="5" t="s">
        <v>1090</v>
      </c>
      <c r="C40" s="5">
        <v>25</v>
      </c>
      <c r="D40" s="5" t="s">
        <v>1007</v>
      </c>
      <c r="E40" s="8" t="s">
        <v>9</v>
      </c>
      <c r="F40" s="5" t="s">
        <v>1091</v>
      </c>
      <c r="G40" s="5" t="s">
        <v>508</v>
      </c>
    </row>
    <row r="41" spans="1:7" s="5" customFormat="1" x14ac:dyDescent="0.25">
      <c r="A41" s="5" t="s">
        <v>1006</v>
      </c>
      <c r="B41" s="5" t="s">
        <v>449</v>
      </c>
      <c r="C41" s="5">
        <v>20</v>
      </c>
      <c r="D41" s="5" t="s">
        <v>1012</v>
      </c>
      <c r="E41" s="10" t="s">
        <v>12</v>
      </c>
      <c r="F41" s="5" t="s">
        <v>1092</v>
      </c>
      <c r="G41" s="5" t="s">
        <v>444</v>
      </c>
    </row>
    <row r="42" spans="1:7" s="5" customFormat="1" x14ac:dyDescent="0.25">
      <c r="A42" s="5" t="s">
        <v>1093</v>
      </c>
      <c r="B42" s="5" t="s">
        <v>1094</v>
      </c>
      <c r="C42" s="5" t="s">
        <v>99</v>
      </c>
      <c r="D42" s="5" t="s">
        <v>1095</v>
      </c>
      <c r="E42" s="8" t="s">
        <v>9</v>
      </c>
      <c r="F42" s="5" t="s">
        <v>1096</v>
      </c>
      <c r="G42" s="5" t="s">
        <v>561</v>
      </c>
    </row>
    <row r="43" spans="1:7" s="5" customFormat="1" x14ac:dyDescent="0.25">
      <c r="A43" s="5" t="s">
        <v>1093</v>
      </c>
      <c r="B43" s="5" t="s">
        <v>1097</v>
      </c>
      <c r="C43" s="5" t="s">
        <v>99</v>
      </c>
      <c r="D43" s="5" t="s">
        <v>1095</v>
      </c>
      <c r="E43" s="8" t="s">
        <v>9</v>
      </c>
      <c r="F43" s="5" t="s">
        <v>1098</v>
      </c>
      <c r="G43" s="5" t="s">
        <v>561</v>
      </c>
    </row>
    <row r="44" spans="1:7" s="5" customFormat="1" x14ac:dyDescent="0.25">
      <c r="A44" s="5" t="s">
        <v>1093</v>
      </c>
      <c r="B44" s="5" t="s">
        <v>573</v>
      </c>
      <c r="C44" s="5" t="s">
        <v>99</v>
      </c>
      <c r="D44" s="5" t="s">
        <v>1095</v>
      </c>
      <c r="E44" s="8" t="s">
        <v>9</v>
      </c>
      <c r="F44" s="5" t="s">
        <v>1099</v>
      </c>
      <c r="G44" s="5" t="s">
        <v>567</v>
      </c>
    </row>
    <row r="45" spans="1:7" s="5" customFormat="1" x14ac:dyDescent="0.25">
      <c r="A45" s="5" t="s">
        <v>1093</v>
      </c>
      <c r="B45" s="5" t="s">
        <v>1100</v>
      </c>
      <c r="C45" s="5" t="s">
        <v>99</v>
      </c>
      <c r="D45" s="5" t="s">
        <v>1095</v>
      </c>
      <c r="E45" s="8" t="s">
        <v>9</v>
      </c>
      <c r="F45" s="5" t="s">
        <v>1101</v>
      </c>
      <c r="G45" s="5" t="s">
        <v>315</v>
      </c>
    </row>
    <row r="46" spans="1:7" s="5" customFormat="1" x14ac:dyDescent="0.25">
      <c r="A46" s="5" t="s">
        <v>1093</v>
      </c>
      <c r="B46" s="5" t="s">
        <v>1102</v>
      </c>
      <c r="C46" s="5" t="s">
        <v>99</v>
      </c>
      <c r="D46" s="5" t="s">
        <v>1095</v>
      </c>
      <c r="E46" s="8" t="s">
        <v>9</v>
      </c>
      <c r="F46" s="5" t="s">
        <v>1103</v>
      </c>
      <c r="G46" s="5" t="s">
        <v>315</v>
      </c>
    </row>
    <row r="47" spans="1:7" s="5" customFormat="1" x14ac:dyDescent="0.25">
      <c r="A47" s="5" t="s">
        <v>1093</v>
      </c>
      <c r="B47" s="5" t="s">
        <v>1104</v>
      </c>
      <c r="C47" s="5" t="s">
        <v>99</v>
      </c>
      <c r="D47" s="5" t="s">
        <v>1095</v>
      </c>
      <c r="E47" s="6" t="s">
        <v>10</v>
      </c>
      <c r="F47" s="5" t="s">
        <v>1105</v>
      </c>
      <c r="G47" s="5" t="s">
        <v>579</v>
      </c>
    </row>
    <row r="48" spans="1:7" s="5" customFormat="1" x14ac:dyDescent="0.25">
      <c r="A48" s="5" t="s">
        <v>1093</v>
      </c>
      <c r="B48" s="5" t="s">
        <v>590</v>
      </c>
      <c r="C48" s="5" t="s">
        <v>99</v>
      </c>
      <c r="D48" s="5" t="s">
        <v>1095</v>
      </c>
      <c r="E48" s="8" t="s">
        <v>9</v>
      </c>
      <c r="F48" s="5" t="s">
        <v>1106</v>
      </c>
      <c r="G48" s="5" t="s">
        <v>586</v>
      </c>
    </row>
    <row r="49" spans="1:7" s="5" customFormat="1" x14ac:dyDescent="0.25">
      <c r="A49" s="5" t="s">
        <v>1093</v>
      </c>
      <c r="B49" s="5" t="s">
        <v>1107</v>
      </c>
      <c r="C49" s="5" t="s">
        <v>99</v>
      </c>
      <c r="D49" s="5" t="s">
        <v>1095</v>
      </c>
      <c r="E49" s="8" t="s">
        <v>9</v>
      </c>
      <c r="F49" s="5" t="s">
        <v>1108</v>
      </c>
      <c r="G49" s="5" t="s">
        <v>591</v>
      </c>
    </row>
    <row r="50" spans="1:7" s="5" customFormat="1" x14ac:dyDescent="0.25">
      <c r="A50" s="5" t="s">
        <v>1093</v>
      </c>
      <c r="B50" s="5" t="s">
        <v>1109</v>
      </c>
      <c r="C50" s="5" t="s">
        <v>99</v>
      </c>
      <c r="D50" s="5" t="s">
        <v>1095</v>
      </c>
      <c r="E50" s="8" t="s">
        <v>9</v>
      </c>
      <c r="F50" s="5" t="s">
        <v>1110</v>
      </c>
      <c r="G50" s="5" t="s">
        <v>591</v>
      </c>
    </row>
    <row r="51" spans="1:7" s="5" customFormat="1" x14ac:dyDescent="0.25">
      <c r="A51" s="5" t="s">
        <v>1093</v>
      </c>
      <c r="B51" s="5" t="s">
        <v>1111</v>
      </c>
      <c r="C51" s="5" t="s">
        <v>99</v>
      </c>
      <c r="D51" s="5" t="s">
        <v>1095</v>
      </c>
      <c r="E51" s="8" t="s">
        <v>9</v>
      </c>
      <c r="F51" s="5" t="s">
        <v>1112</v>
      </c>
      <c r="G51" s="5" t="s">
        <v>591</v>
      </c>
    </row>
    <row r="52" spans="1:7" s="5" customFormat="1" x14ac:dyDescent="0.25">
      <c r="A52" s="5" t="s">
        <v>1093</v>
      </c>
      <c r="B52" s="5" t="s">
        <v>601</v>
      </c>
      <c r="C52" s="5" t="s">
        <v>99</v>
      </c>
      <c r="D52" s="5" t="s">
        <v>1095</v>
      </c>
      <c r="E52" s="8" t="s">
        <v>9</v>
      </c>
      <c r="F52" s="5" t="s">
        <v>1113</v>
      </c>
      <c r="G52" s="5" t="s">
        <v>488</v>
      </c>
    </row>
    <row r="53" spans="1:7" s="5" customFormat="1" x14ac:dyDescent="0.25">
      <c r="A53" s="5" t="s">
        <v>1093</v>
      </c>
      <c r="B53" s="5" t="s">
        <v>627</v>
      </c>
      <c r="C53" s="5" t="s">
        <v>99</v>
      </c>
      <c r="D53" s="5" t="s">
        <v>1114</v>
      </c>
      <c r="E53" s="12" t="s">
        <v>14</v>
      </c>
      <c r="F53" s="5" t="s">
        <v>1115</v>
      </c>
      <c r="G53" s="5" t="s">
        <v>621</v>
      </c>
    </row>
    <row r="54" spans="1:7" s="5" customFormat="1" x14ac:dyDescent="0.25">
      <c r="A54" s="5" t="s">
        <v>1093</v>
      </c>
      <c r="B54" s="5" t="s">
        <v>607</v>
      </c>
      <c r="C54" s="5" t="s">
        <v>99</v>
      </c>
      <c r="D54" s="5" t="s">
        <v>1114</v>
      </c>
      <c r="E54" s="12" t="s">
        <v>14</v>
      </c>
      <c r="F54" s="5" t="s">
        <v>1116</v>
      </c>
      <c r="G54" s="5" t="s">
        <v>602</v>
      </c>
    </row>
    <row r="55" spans="1:7" s="5" customFormat="1" x14ac:dyDescent="0.25">
      <c r="A55" s="5" t="s">
        <v>1093</v>
      </c>
      <c r="B55" s="5" t="s">
        <v>613</v>
      </c>
      <c r="C55" s="5" t="s">
        <v>99</v>
      </c>
      <c r="D55" s="5" t="s">
        <v>1114</v>
      </c>
      <c r="E55" s="12" t="s">
        <v>14</v>
      </c>
      <c r="F55" s="5" t="s">
        <v>1117</v>
      </c>
      <c r="G55" s="5" t="s">
        <v>608</v>
      </c>
    </row>
    <row r="56" spans="1:7" s="5" customFormat="1" x14ac:dyDescent="0.25">
      <c r="A56" s="5" t="s">
        <v>1093</v>
      </c>
      <c r="B56" s="5" t="s">
        <v>620</v>
      </c>
      <c r="C56" s="5" t="s">
        <v>99</v>
      </c>
      <c r="D56" s="5" t="s">
        <v>1114</v>
      </c>
      <c r="E56" s="10" t="s">
        <v>12</v>
      </c>
      <c r="F56" s="5" t="s">
        <v>1118</v>
      </c>
      <c r="G56" s="5" t="s">
        <v>614</v>
      </c>
    </row>
    <row r="57" spans="1:7" s="5" customFormat="1" x14ac:dyDescent="0.25">
      <c r="A57" s="5" t="s">
        <v>1119</v>
      </c>
      <c r="B57" s="5" t="s">
        <v>1120</v>
      </c>
      <c r="C57" s="5" t="s">
        <v>99</v>
      </c>
      <c r="D57" s="5" t="s">
        <v>1095</v>
      </c>
      <c r="E57" s="8" t="s">
        <v>9</v>
      </c>
      <c r="F57" s="5" t="s">
        <v>1121</v>
      </c>
      <c r="G57" s="5" t="s">
        <v>654</v>
      </c>
    </row>
    <row r="58" spans="1:7" s="5" customFormat="1" x14ac:dyDescent="0.25">
      <c r="A58" s="5" t="s">
        <v>1119</v>
      </c>
      <c r="B58" s="5" t="s">
        <v>1122</v>
      </c>
      <c r="C58" s="5" t="s">
        <v>99</v>
      </c>
      <c r="D58" s="5" t="s">
        <v>1095</v>
      </c>
      <c r="E58" s="8" t="s">
        <v>9</v>
      </c>
      <c r="F58" s="5" t="s">
        <v>1123</v>
      </c>
      <c r="G58" s="5" t="s">
        <v>654</v>
      </c>
    </row>
    <row r="59" spans="1:7" s="5" customFormat="1" x14ac:dyDescent="0.25">
      <c r="A59" s="5" t="s">
        <v>1119</v>
      </c>
      <c r="B59" s="5" t="s">
        <v>1124</v>
      </c>
      <c r="C59" s="5" t="s">
        <v>99</v>
      </c>
      <c r="D59" s="5" t="s">
        <v>1095</v>
      </c>
      <c r="E59" s="8" t="s">
        <v>9</v>
      </c>
      <c r="F59" s="5" t="s">
        <v>1125</v>
      </c>
      <c r="G59" s="5" t="s">
        <v>662</v>
      </c>
    </row>
    <row r="60" spans="1:7" s="5" customFormat="1" x14ac:dyDescent="0.25">
      <c r="A60" s="5" t="s">
        <v>1119</v>
      </c>
      <c r="B60" s="5" t="s">
        <v>1126</v>
      </c>
      <c r="C60" s="5" t="s">
        <v>99</v>
      </c>
      <c r="D60" s="5" t="s">
        <v>1095</v>
      </c>
      <c r="E60" s="8" t="s">
        <v>9</v>
      </c>
      <c r="F60" s="5" t="s">
        <v>1127</v>
      </c>
      <c r="G60" s="5" t="s">
        <v>662</v>
      </c>
    </row>
    <row r="61" spans="1:7" s="5" customFormat="1" x14ac:dyDescent="0.25">
      <c r="A61" s="5" t="s">
        <v>1119</v>
      </c>
      <c r="B61" s="5" t="s">
        <v>632</v>
      </c>
      <c r="C61" s="5" t="s">
        <v>99</v>
      </c>
      <c r="D61" s="5" t="s">
        <v>1095</v>
      </c>
      <c r="E61" s="8" t="s">
        <v>9</v>
      </c>
      <c r="F61" s="5" t="s">
        <v>1128</v>
      </c>
      <c r="G61" s="5" t="s">
        <v>294</v>
      </c>
    </row>
    <row r="62" spans="1:7" s="5" customFormat="1" x14ac:dyDescent="0.25">
      <c r="A62" s="5" t="s">
        <v>1119</v>
      </c>
      <c r="B62" s="5" t="s">
        <v>649</v>
      </c>
      <c r="C62" s="5" t="s">
        <v>99</v>
      </c>
      <c r="D62" s="5" t="s">
        <v>1095</v>
      </c>
      <c r="E62" s="8" t="s">
        <v>9</v>
      </c>
      <c r="F62" s="5" t="s">
        <v>1129</v>
      </c>
      <c r="G62" s="5" t="s">
        <v>643</v>
      </c>
    </row>
    <row r="63" spans="1:7" s="5" customFormat="1" x14ac:dyDescent="0.25">
      <c r="A63" s="5" t="s">
        <v>1119</v>
      </c>
      <c r="B63" s="5" t="s">
        <v>1130</v>
      </c>
      <c r="C63" s="5" t="s">
        <v>99</v>
      </c>
      <c r="D63" s="5" t="s">
        <v>1095</v>
      </c>
      <c r="E63" s="6" t="s">
        <v>10</v>
      </c>
      <c r="F63" s="5" t="s">
        <v>1131</v>
      </c>
      <c r="G63" s="5" t="s">
        <v>252</v>
      </c>
    </row>
    <row r="64" spans="1:7" s="5" customFormat="1" x14ac:dyDescent="0.25">
      <c r="A64" s="5" t="s">
        <v>1119</v>
      </c>
      <c r="B64" s="5" t="s">
        <v>1132</v>
      </c>
      <c r="C64" s="5" t="s">
        <v>99</v>
      </c>
      <c r="D64" s="5" t="s">
        <v>1133</v>
      </c>
      <c r="E64" s="8" t="s">
        <v>9</v>
      </c>
      <c r="F64" s="5" t="s">
        <v>1134</v>
      </c>
      <c r="G64" s="5" t="s">
        <v>561</v>
      </c>
    </row>
    <row r="65" spans="1:7" s="5" customFormat="1" x14ac:dyDescent="0.25">
      <c r="A65" s="5" t="s">
        <v>1119</v>
      </c>
      <c r="B65" s="5" t="s">
        <v>1135</v>
      </c>
      <c r="C65" s="5" t="s">
        <v>99</v>
      </c>
      <c r="D65" s="5" t="s">
        <v>1136</v>
      </c>
      <c r="E65" s="6" t="s">
        <v>10</v>
      </c>
      <c r="F65" s="5" t="s">
        <v>1137</v>
      </c>
      <c r="G65" s="5" t="s">
        <v>915</v>
      </c>
    </row>
    <row r="66" spans="1:7" s="5" customFormat="1" x14ac:dyDescent="0.25">
      <c r="A66" s="5" t="s">
        <v>1119</v>
      </c>
      <c r="B66" s="5" t="s">
        <v>1138</v>
      </c>
      <c r="C66" s="5" t="s">
        <v>99</v>
      </c>
      <c r="D66" s="5" t="s">
        <v>1139</v>
      </c>
      <c r="E66" s="6" t="s">
        <v>10</v>
      </c>
      <c r="F66" s="5" t="s">
        <v>1140</v>
      </c>
      <c r="G66" s="5" t="s">
        <v>1141</v>
      </c>
    </row>
    <row r="68" spans="1:1" s="15" customFormat="1" x14ac:dyDescent="0.25">
      <c r="A68" s="15" t="s">
        <v>1142</v>
      </c>
    </row>
  </sheetData>
  <autoFilter ref="A1:G6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8" customWidth="1"/>
    <col min="3" max="3" width="70" customWidth="1"/>
    <col min="4" max="4" width="60" customWidth="1"/>
  </cols>
  <sheetData>
    <row r="1" spans="1:4" s="16" customFormat="1" x14ac:dyDescent="0.25">
      <c r="A1" s="16" t="s">
        <v>1143</v>
      </c>
      <c r="B1" s="16" t="s">
        <v>1144</v>
      </c>
      <c r="C1" s="16" t="s">
        <v>1145</v>
      </c>
      <c r="D1" s="16" t="s">
        <v>1146</v>
      </c>
    </row>
    <row r="2" ht="45" customHeight="1" spans="1:4" s="5" customFormat="1" x14ac:dyDescent="0.25">
      <c r="A2" s="5">
        <v>1</v>
      </c>
      <c r="B2" s="5" t="s">
        <v>1147</v>
      </c>
      <c r="C2" s="5" t="s">
        <v>1148</v>
      </c>
      <c r="D2" s="5" t="s">
        <v>1149</v>
      </c>
    </row>
    <row r="3" ht="45" customHeight="1" spans="1:4" s="5" customFormat="1" x14ac:dyDescent="0.25">
      <c r="A3" s="5">
        <v>2</v>
      </c>
      <c r="B3" s="5" t="s">
        <v>1150</v>
      </c>
      <c r="C3" s="5" t="s">
        <v>1151</v>
      </c>
      <c r="D3" s="5" t="s">
        <v>1152</v>
      </c>
    </row>
    <row r="4" ht="45" customHeight="1" spans="1:4" s="5" customFormat="1" x14ac:dyDescent="0.25">
      <c r="A4" s="5">
        <v>3</v>
      </c>
      <c r="B4" s="5" t="s">
        <v>1153</v>
      </c>
      <c r="C4" s="5" t="s">
        <v>1154</v>
      </c>
      <c r="D4" s="5" t="s">
        <v>1155</v>
      </c>
    </row>
    <row r="5" ht="45" customHeight="1" spans="1:4" s="5" customFormat="1" x14ac:dyDescent="0.25">
      <c r="A5" s="5">
        <v>4</v>
      </c>
      <c r="B5" s="5" t="s">
        <v>1156</v>
      </c>
      <c r="C5" s="5" t="s">
        <v>1157</v>
      </c>
      <c r="D5" s="5" t="s">
        <v>1158</v>
      </c>
    </row>
    <row r="6" ht="45" customHeight="1" spans="1:4" s="5" customFormat="1" x14ac:dyDescent="0.25">
      <c r="A6" s="5">
        <v>5</v>
      </c>
      <c r="B6" s="5" t="s">
        <v>1159</v>
      </c>
      <c r="C6" s="5" t="s">
        <v>1160</v>
      </c>
      <c r="D6" s="5" t="s">
        <v>1161</v>
      </c>
    </row>
    <row r="8" spans="1:2" s="15" customFormat="1" x14ac:dyDescent="0.25">
      <c r="A8" s="15" t="s">
        <v>1162</v>
      </c>
      <c r="B8" s="15" t="s">
        <v>1163</v>
      </c>
    </row>
    <row r="9" spans="1:2" s="17" customFormat="1" x14ac:dyDescent="0.25">
      <c r="A9" s="17" t="s">
        <v>89</v>
      </c>
      <c r="B9" s="17" t="s">
        <v>1164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">
        <v>782</v>
      </c>
      <c r="B1" t="s">
        <v>1165</v>
      </c>
    </row>
    <row r="2" spans="1:2" x14ac:dyDescent="0.25">
      <c r="A2" t="s">
        <v>31</v>
      </c>
      <c r="B2" t="s">
        <v>1166</v>
      </c>
    </row>
    <row r="3" spans="1:2" x14ac:dyDescent="0.25">
      <c r="A3" t="s">
        <v>1167</v>
      </c>
      <c r="B3" t="s">
        <v>1168</v>
      </c>
    </row>
    <row r="4" spans="1:2" x14ac:dyDescent="0.25">
      <c r="A4" t="s">
        <v>1169</v>
      </c>
      <c r="B4" t="s">
        <v>1170</v>
      </c>
    </row>
    <row r="5" spans="1:2" x14ac:dyDescent="0.25">
      <c r="A5" t="s">
        <v>1171</v>
      </c>
      <c r="B5" t="s">
        <v>1172</v>
      </c>
    </row>
    <row r="6" spans="1:2" x14ac:dyDescent="0.25">
      <c r="A6" t="s">
        <v>1173</v>
      </c>
      <c r="B6" t="s">
        <v>1174</v>
      </c>
    </row>
    <row r="7" spans="1:2" x14ac:dyDescent="0.25">
      <c r="A7" t="s">
        <v>1175</v>
      </c>
      <c r="B7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A. Yönetici Özeti</vt:lpstr>
      <vt:lpstr>B. ERP Gereksinim Matrisi</vt:lpstr>
      <vt:lpstr>C. Teknik Borç ve Veri Bütün.</vt:lpstr>
      <vt:lpstr>D. Önceki Kararlar ve Bekleyen</vt:lpstr>
      <vt:lpstr>E. Geliştirme Yol Haritası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KTB ERP Kapsam Analizi</dc:creator>
  <dc:title/>
  <dc:subject/>
  <dc:description/>
  <cp:keywords/>
  <cp:category/>
  <cp:lastModifiedBy>Unknown</cp:lastModifiedBy>
  <dcterms:created xsi:type="dcterms:W3CDTF">2026-10-16T19:01:10Z</dcterms:created>
  <dcterms:modified xsi:type="dcterms:W3CDTF">2026-10-16T19:01:10Z</dcterms:modified>
</cp:coreProperties>
</file>